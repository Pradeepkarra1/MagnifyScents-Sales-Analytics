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fgdiags1\Downloads\"/>
    </mc:Choice>
  </mc:AlternateContent>
  <xr:revisionPtr revIDLastSave="0" documentId="13_ncr:1_{916432C4-551D-41DC-877E-64105A1C3FF3}" xr6:coauthVersionLast="47" xr6:coauthVersionMax="47" xr10:uidLastSave="{00000000-0000-0000-0000-000000000000}"/>
  <bookViews>
    <workbookView xWindow="28680" yWindow="-120" windowWidth="29040" windowHeight="15720" tabRatio="622" activeTab="2" xr2:uid="{00000000-000D-0000-FFFF-FFFF00000000}"/>
  </bookViews>
  <sheets>
    <sheet name="📊 Dashboard" sheetId="1" r:id="rId1"/>
    <sheet name="📈 Charts" sheetId="2" r:id="rId2"/>
    <sheet name="📋 Raw Data" sheetId="3" r:id="rId3"/>
    <sheet name="💡 Insights" sheetId="5" r:id="rId4"/>
    <sheet name="🔢 Calc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4" l="1"/>
  <c r="B23" i="4"/>
  <c r="B22" i="4"/>
  <c r="B21" i="4"/>
  <c r="D15" i="4"/>
  <c r="C15" i="4"/>
  <c r="B15" i="4"/>
  <c r="D14" i="4"/>
  <c r="C14" i="4"/>
  <c r="B14" i="4"/>
  <c r="D13" i="4"/>
  <c r="C13" i="4"/>
  <c r="B13" i="4"/>
  <c r="D12" i="4"/>
  <c r="C12" i="4"/>
  <c r="B12" i="4"/>
  <c r="G22" i="1" s="1"/>
  <c r="D11" i="4"/>
  <c r="E20" i="1" s="1"/>
  <c r="C11" i="4"/>
  <c r="F20" i="1" s="1"/>
  <c r="B11" i="4"/>
  <c r="D10" i="4"/>
  <c r="C10" i="4"/>
  <c r="D19" i="1" s="1"/>
  <c r="B10" i="4"/>
  <c r="I9" i="4"/>
  <c r="H9" i="4"/>
  <c r="G9" i="4"/>
  <c r="D9" i="4"/>
  <c r="C9" i="4"/>
  <c r="B9" i="4"/>
  <c r="F18" i="1" s="1"/>
  <c r="I8" i="4"/>
  <c r="E31" i="1" s="1"/>
  <c r="H8" i="4"/>
  <c r="D31" i="1" s="1"/>
  <c r="G8" i="4"/>
  <c r="C31" i="1" s="1"/>
  <c r="D8" i="4"/>
  <c r="C8" i="4"/>
  <c r="B8" i="4"/>
  <c r="F17" i="1" s="1"/>
  <c r="I7" i="4"/>
  <c r="H7" i="4"/>
  <c r="G7" i="4"/>
  <c r="D7" i="4"/>
  <c r="E16" i="1" s="1"/>
  <c r="C7" i="4"/>
  <c r="D16" i="1" s="1"/>
  <c r="B7" i="4"/>
  <c r="G16" i="1" s="1"/>
  <c r="U6" i="4"/>
  <c r="H40" i="1" s="1"/>
  <c r="T6" i="4"/>
  <c r="G40" i="1" s="1"/>
  <c r="Q6" i="4"/>
  <c r="P6" i="4"/>
  <c r="M6" i="4"/>
  <c r="L6" i="4"/>
  <c r="I31" i="1" s="1"/>
  <c r="I6" i="4"/>
  <c r="H6" i="4"/>
  <c r="G6" i="4"/>
  <c r="D6" i="4"/>
  <c r="E15" i="1" s="1"/>
  <c r="C6" i="4"/>
  <c r="D15" i="1" s="1"/>
  <c r="B6" i="4"/>
  <c r="C15" i="1" s="1"/>
  <c r="U5" i="4"/>
  <c r="H39" i="1" s="1"/>
  <c r="T5" i="4"/>
  <c r="G39" i="1" s="1"/>
  <c r="Q5" i="4"/>
  <c r="P5" i="4"/>
  <c r="M5" i="4"/>
  <c r="L5" i="4"/>
  <c r="I5" i="4"/>
  <c r="H5" i="4"/>
  <c r="G5" i="4"/>
  <c r="D5" i="4"/>
  <c r="E14" i="1" s="1"/>
  <c r="C5" i="4"/>
  <c r="D14" i="1" s="1"/>
  <c r="B5" i="4"/>
  <c r="G14" i="1" s="1"/>
  <c r="U4" i="4"/>
  <c r="H38" i="1" s="1"/>
  <c r="T4" i="4"/>
  <c r="G38" i="1" s="1"/>
  <c r="Q4" i="4"/>
  <c r="P4" i="4"/>
  <c r="M4" i="4"/>
  <c r="L4" i="4"/>
  <c r="I29" i="1" s="1"/>
  <c r="I4" i="4"/>
  <c r="H4" i="4"/>
  <c r="G4" i="4"/>
  <c r="D4" i="4"/>
  <c r="E13" i="1" s="1"/>
  <c r="C4" i="4"/>
  <c r="D13" i="1" s="1"/>
  <c r="B4" i="4"/>
  <c r="F13" i="1" s="1"/>
  <c r="I40" i="1"/>
  <c r="E40" i="1"/>
  <c r="D40" i="1"/>
  <c r="C40" i="1"/>
  <c r="E39" i="1"/>
  <c r="D39" i="1"/>
  <c r="C39" i="1"/>
  <c r="I38" i="1"/>
  <c r="E38" i="1"/>
  <c r="D38" i="1"/>
  <c r="C38" i="1"/>
  <c r="E34" i="1"/>
  <c r="D34" i="1"/>
  <c r="C34" i="1"/>
  <c r="E33" i="1"/>
  <c r="D33" i="1"/>
  <c r="C33" i="1"/>
  <c r="E32" i="1"/>
  <c r="D32" i="1"/>
  <c r="C32" i="1"/>
  <c r="H31" i="1"/>
  <c r="G31" i="1"/>
  <c r="I30" i="1"/>
  <c r="H30" i="1"/>
  <c r="G30" i="1"/>
  <c r="E30" i="1"/>
  <c r="D30" i="1"/>
  <c r="C30" i="1"/>
  <c r="H29" i="1"/>
  <c r="G29" i="1"/>
  <c r="E29" i="1"/>
  <c r="D29" i="1"/>
  <c r="C29" i="1"/>
  <c r="G24" i="1"/>
  <c r="F24" i="1"/>
  <c r="E24" i="1"/>
  <c r="D24" i="1"/>
  <c r="C24" i="1"/>
  <c r="G23" i="1"/>
  <c r="F23" i="1"/>
  <c r="E23" i="1"/>
  <c r="D23" i="1"/>
  <c r="C23" i="1"/>
  <c r="F22" i="1"/>
  <c r="E22" i="1"/>
  <c r="D22" i="1"/>
  <c r="C22" i="1"/>
  <c r="G21" i="1"/>
  <c r="F21" i="1"/>
  <c r="E21" i="1"/>
  <c r="D21" i="1"/>
  <c r="C21" i="1"/>
  <c r="G20" i="1"/>
  <c r="C20" i="1"/>
  <c r="G19" i="1"/>
  <c r="F19" i="1"/>
  <c r="E19" i="1"/>
  <c r="C19" i="1"/>
  <c r="E18" i="1"/>
  <c r="D18" i="1"/>
  <c r="E17" i="1"/>
  <c r="D17" i="1"/>
  <c r="C17" i="1"/>
  <c r="H7" i="1"/>
  <c r="F7" i="1"/>
  <c r="D7" i="1"/>
  <c r="B7" i="1"/>
  <c r="G17" i="1" l="1"/>
  <c r="D20" i="1"/>
  <c r="C13" i="1"/>
  <c r="F15" i="1"/>
  <c r="C18" i="1"/>
  <c r="G15" i="1"/>
  <c r="I39" i="1"/>
  <c r="C14" i="1"/>
  <c r="G18" i="1"/>
  <c r="F16" i="1"/>
  <c r="C16" i="1"/>
  <c r="F14" i="1"/>
</calcChain>
</file>

<file path=xl/sharedStrings.xml><?xml version="1.0" encoding="utf-8"?>
<sst xmlns="http://schemas.openxmlformats.org/spreadsheetml/2006/main" count="1350" uniqueCount="379">
  <si>
    <t>✦  MAGNIFYSCENTS  ·  Sales Performance Dashboard  ✦</t>
  </si>
  <si>
    <t>2026  ·  All Channels  ·  ⚡ Live — add rows to Raw Data and this dashboard updates instantly</t>
  </si>
  <si>
    <t>💰 Total Revenue</t>
  </si>
  <si>
    <t>🛒 Total Orders</t>
  </si>
  <si>
    <t>📦 Units Sold</t>
  </si>
  <si>
    <t>💳 Avg Order Value</t>
  </si>
  <si>
    <t xml:space="preserve">  📅  Monthly Revenue Summary  ·  auto-updates when new rows are added</t>
  </si>
  <si>
    <t>Month</t>
  </si>
  <si>
    <t>Revenue (INR)</t>
  </si>
  <si>
    <t>Orders</t>
  </si>
  <si>
    <t>Units</t>
  </si>
  <si>
    <t>Avg Order (INR)</t>
  </si>
  <si>
    <t>MoM Growth</t>
  </si>
  <si>
    <t>Jan 2026</t>
  </si>
  <si>
    <t>—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</si>
  <si>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</si>
  <si>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</si>
  <si>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</si>
  <si>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</si>
  <si>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</si>
  <si>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</si>
  <si>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</si>
  <si>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</si>
  <si>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</si>
  <si>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</si>
  <si>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</si>
  <si>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 xml:space="preserve">  🏆  Product Performance  ·  auto-updates</t>
  </si>
  <si>
    <t xml:space="preserve">  📱  Sales Channel Breakdown  ·  auto-updates</t>
  </si>
  <si>
    <t>Product</t>
  </si>
  <si>
    <t>Channel</t>
  </si>
  <si>
    <t>% Share</t>
  </si>
  <si>
    <t>🥇  Amber Gold</t>
  </si>
  <si>
    <t>In-person</t>
  </si>
  <si>
    <t>🥈  Citrus Fresh</t>
  </si>
  <si>
    <t>Instagram</t>
  </si>
  <si>
    <t>🥉  Rose Elixir</t>
  </si>
  <si>
    <t>WhatsApp</t>
  </si>
  <si>
    <t>4th  Vanilla Bliss</t>
  </si>
  <si>
    <t>5th  Midnight Musk</t>
  </si>
  <si>
    <t>6th  Oud Royale</t>
  </si>
  <si>
    <t xml:space="preserve">  💳  Payment Method  ·  auto-updates</t>
  </si>
  <si>
    <t xml:space="preserve">  🎯  Category Breakdown  ·  auto-updates</t>
  </si>
  <si>
    <t>Payment</t>
  </si>
  <si>
    <t>Category</t>
  </si>
  <si>
    <t>Cash</t>
  </si>
  <si>
    <t>Men</t>
  </si>
  <si>
    <t>POS</t>
  </si>
  <si>
    <t>Unisex</t>
  </si>
  <si>
    <t>Transfer</t>
  </si>
  <si>
    <t>Women</t>
  </si>
  <si>
    <t>✦  Just add rows to the Raw Data sheet  →  All KPIs, tables and charts refresh instantly  ·  MagnifyScents 2026  ✦</t>
  </si>
  <si>
    <t>✦  MagnifyScents  ·  Visual Analytics  ·  All 8 charts update when new sales are added  ✦</t>
  </si>
  <si>
    <t xml:space="preserve">  📈  Monthly Revenue Trend (INR)  ·  auto-updates</t>
  </si>
  <si>
    <t xml:space="preserve">  📊  Monthly Orders Count  ·  auto-updates</t>
  </si>
  <si>
    <t xml:space="preserve">  🏆  Revenue by Product (INR)  ·  auto-updates</t>
  </si>
  <si>
    <t xml:space="preserve">  📦  Units Sold by Product  ·  auto-updates</t>
  </si>
  <si>
    <t xml:space="preserve">  📱  Revenue Share by Sales Channel  ·  auto-updates</t>
  </si>
  <si>
    <t xml:space="preserve">  💳  Revenue Share by Payment Method  ·  auto-updates</t>
  </si>
  <si>
    <t xml:space="preserve">  🎯  Revenue by Category (INR)  ·  auto-updates</t>
  </si>
  <si>
    <t xml:space="preserve">  📦  Units Sold by Category  ·  auto-updates</t>
  </si>
  <si>
    <t>✦  All 8 charts refresh automatically  ·  Add rows to Raw Data sheet to see new months appear  ·  MagnifyScents  ✦</t>
  </si>
  <si>
    <t>Order ID</t>
  </si>
  <si>
    <t>Date</t>
  </si>
  <si>
    <t>Product Name</t>
  </si>
  <si>
    <t>Quantity</t>
  </si>
  <si>
    <t>Sales Channel</t>
  </si>
  <si>
    <t>Payment Method</t>
  </si>
  <si>
    <t>Unit Price (INR)</t>
  </si>
  <si>
    <t>Total Revenue (INR)</t>
  </si>
  <si>
    <t>ORD001</t>
  </si>
  <si>
    <t>2026-02-07</t>
  </si>
  <si>
    <t>Citrus Fresh</t>
  </si>
  <si>
    <t>ORD002</t>
  </si>
  <si>
    <t>2026-03-26</t>
  </si>
  <si>
    <t>Midnight Musk</t>
  </si>
  <si>
    <t>ORD003</t>
  </si>
  <si>
    <t>2026-02-12</t>
  </si>
  <si>
    <t>ORD004</t>
  </si>
  <si>
    <t>2026-01-13</t>
  </si>
  <si>
    <t>ORD005</t>
  </si>
  <si>
    <t>2026-03-24</t>
  </si>
  <si>
    <t>ORD006</t>
  </si>
  <si>
    <t>Oud Royale</t>
  </si>
  <si>
    <t>ORD007</t>
  </si>
  <si>
    <t>ORD008</t>
  </si>
  <si>
    <t>2026-02-10</t>
  </si>
  <si>
    <t>Rose Elixir</t>
  </si>
  <si>
    <t>ORD009</t>
  </si>
  <si>
    <t>2026-01-18</t>
  </si>
  <si>
    <t>Vanilla Bliss</t>
  </si>
  <si>
    <t>ORD010</t>
  </si>
  <si>
    <t>2026-01-17</t>
  </si>
  <si>
    <t>ORD011</t>
  </si>
  <si>
    <t>2026-03-13</t>
  </si>
  <si>
    <t>Amber Gold</t>
  </si>
  <si>
    <t>ORD012</t>
  </si>
  <si>
    <t>ORD013</t>
  </si>
  <si>
    <t>2026-03-25</t>
  </si>
  <si>
    <t>ORD014</t>
  </si>
  <si>
    <t>2026-02-19</t>
  </si>
  <si>
    <t>ORD015</t>
  </si>
  <si>
    <t>2026-02-15</t>
  </si>
  <si>
    <t>ORD016</t>
  </si>
  <si>
    <t>2026-02-03</t>
  </si>
  <si>
    <t>ORD017</t>
  </si>
  <si>
    <t>2026-03-31</t>
  </si>
  <si>
    <t>ORD018</t>
  </si>
  <si>
    <t>2026-01-16</t>
  </si>
  <si>
    <t>ORD019</t>
  </si>
  <si>
    <t>2026-03-06</t>
  </si>
  <si>
    <t>ORD020</t>
  </si>
  <si>
    <t>2026-02-06</t>
  </si>
  <si>
    <t>ORD021</t>
  </si>
  <si>
    <t>ORD022</t>
  </si>
  <si>
    <t>2026-01-09</t>
  </si>
  <si>
    <t>ORD023</t>
  </si>
  <si>
    <t>ORD024</t>
  </si>
  <si>
    <t>2026-02-17</t>
  </si>
  <si>
    <t>ORD025</t>
  </si>
  <si>
    <t>2026-03-12</t>
  </si>
  <si>
    <t>ORD026</t>
  </si>
  <si>
    <t>2026-03-03</t>
  </si>
  <si>
    <t>ORD027</t>
  </si>
  <si>
    <t>2026-02-14</t>
  </si>
  <si>
    <t>ORD028</t>
  </si>
  <si>
    <t>2026-02-22</t>
  </si>
  <si>
    <t>ORD029</t>
  </si>
  <si>
    <t>2026-03-21</t>
  </si>
  <si>
    <t>ORD030</t>
  </si>
  <si>
    <t>2026-01-26</t>
  </si>
  <si>
    <t>ORD031</t>
  </si>
  <si>
    <t>2026-02-08</t>
  </si>
  <si>
    <t>ORD032</t>
  </si>
  <si>
    <t>2026-03-14</t>
  </si>
  <si>
    <t>ORD033</t>
  </si>
  <si>
    <t>2026-01-21</t>
  </si>
  <si>
    <t>ORD034</t>
  </si>
  <si>
    <t>2026-04-01</t>
  </si>
  <si>
    <t>ORD035</t>
  </si>
  <si>
    <t>2026-02-18</t>
  </si>
  <si>
    <t>ORD036</t>
  </si>
  <si>
    <t>2026-01-23</t>
  </si>
  <si>
    <t>ORD037</t>
  </si>
  <si>
    <t>ORD038</t>
  </si>
  <si>
    <t>2026-01-05</t>
  </si>
  <si>
    <t>ORD039</t>
  </si>
  <si>
    <t>2026-01-15</t>
  </si>
  <si>
    <t>ORD040</t>
  </si>
  <si>
    <t>ORD041</t>
  </si>
  <si>
    <t>ORD042</t>
  </si>
  <si>
    <t>2026-01-12</t>
  </si>
  <si>
    <t>ORD043</t>
  </si>
  <si>
    <t>ORD044</t>
  </si>
  <si>
    <t>ORD045</t>
  </si>
  <si>
    <t>2026-02-20</t>
  </si>
  <si>
    <t>ORD046</t>
  </si>
  <si>
    <t>2026-03-15</t>
  </si>
  <si>
    <t>ORD047</t>
  </si>
  <si>
    <t>2026-01-29</t>
  </si>
  <si>
    <t>ORD048</t>
  </si>
  <si>
    <t>ORD049</t>
  </si>
  <si>
    <t>2026-02-25</t>
  </si>
  <si>
    <t>ORD050</t>
  </si>
  <si>
    <t>2026-03-22</t>
  </si>
  <si>
    <t>ORD051</t>
  </si>
  <si>
    <t>2026-03-20</t>
  </si>
  <si>
    <t>ORD052</t>
  </si>
  <si>
    <t>2026-02-13</t>
  </si>
  <si>
    <t>ORD053</t>
  </si>
  <si>
    <t>2026-03-07</t>
  </si>
  <si>
    <t>ORD054</t>
  </si>
  <si>
    <t>ORD055</t>
  </si>
  <si>
    <t>ORD056</t>
  </si>
  <si>
    <t>ORD057</t>
  </si>
  <si>
    <t>ORD058</t>
  </si>
  <si>
    <t>2026-03-28</t>
  </si>
  <si>
    <t>ORD059</t>
  </si>
  <si>
    <t>2026-03-23</t>
  </si>
  <si>
    <t>ORD060</t>
  </si>
  <si>
    <t>ORD061</t>
  </si>
  <si>
    <t>2026-03-18</t>
  </si>
  <si>
    <t>ORD062</t>
  </si>
  <si>
    <t>2026-01-06</t>
  </si>
  <si>
    <t>ORD063</t>
  </si>
  <si>
    <t>ORD064</t>
  </si>
  <si>
    <t>2026-01-27</t>
  </si>
  <si>
    <t>ORD065</t>
  </si>
  <si>
    <t>2026-03-19</t>
  </si>
  <si>
    <t>ORD066</t>
  </si>
  <si>
    <t>2026-02-11</t>
  </si>
  <si>
    <t>ORD067</t>
  </si>
  <si>
    <t>ORD068</t>
  </si>
  <si>
    <t>2026-01-14</t>
  </si>
  <si>
    <t>ORD069</t>
  </si>
  <si>
    <t>ORD070</t>
  </si>
  <si>
    <t>2026-02-09</t>
  </si>
  <si>
    <t>ORD071</t>
  </si>
  <si>
    <t>ORD072</t>
  </si>
  <si>
    <t>ORD073</t>
  </si>
  <si>
    <t>ORD074</t>
  </si>
  <si>
    <t>ORD075</t>
  </si>
  <si>
    <t>2026-02-26</t>
  </si>
  <si>
    <t>ORD076</t>
  </si>
  <si>
    <t>ORD077</t>
  </si>
  <si>
    <t>2026-03-30</t>
  </si>
  <si>
    <t>ORD078</t>
  </si>
  <si>
    <t>ORD079</t>
  </si>
  <si>
    <t>2026-01-19</t>
  </si>
  <si>
    <t>ORD080</t>
  </si>
  <si>
    <t>ORD081</t>
  </si>
  <si>
    <t>ORD082</t>
  </si>
  <si>
    <t>ORD083</t>
  </si>
  <si>
    <t>ORD084</t>
  </si>
  <si>
    <t>2026-01-28</t>
  </si>
  <si>
    <t>ORD085</t>
  </si>
  <si>
    <t>ORD086</t>
  </si>
  <si>
    <t>ORD087</t>
  </si>
  <si>
    <t>ORD088</t>
  </si>
  <si>
    <t>2026-03-16</t>
  </si>
  <si>
    <t>ORD089</t>
  </si>
  <si>
    <t>2026-03-08</t>
  </si>
  <si>
    <t>ORD090</t>
  </si>
  <si>
    <t>ORD091</t>
  </si>
  <si>
    <t>2026-03-02</t>
  </si>
  <si>
    <t>ORD092</t>
  </si>
  <si>
    <t>2026-03-17</t>
  </si>
  <si>
    <t>ORD093</t>
  </si>
  <si>
    <t>ORD094</t>
  </si>
  <si>
    <t>ORD095</t>
  </si>
  <si>
    <t>ORD096</t>
  </si>
  <si>
    <t>2026-01-31</t>
  </si>
  <si>
    <t>ORD097</t>
  </si>
  <si>
    <t>ORD098</t>
  </si>
  <si>
    <t>ORD099</t>
  </si>
  <si>
    <t>ORD100</t>
  </si>
  <si>
    <t>ORD101</t>
  </si>
  <si>
    <t>2026-01-22</t>
  </si>
  <si>
    <t>ORD102</t>
  </si>
  <si>
    <t>ORD103</t>
  </si>
  <si>
    <t>2026-01-08</t>
  </si>
  <si>
    <t>ORD104</t>
  </si>
  <si>
    <t>ORD105</t>
  </si>
  <si>
    <t>2026-03-09</t>
  </si>
  <si>
    <t>ORD106</t>
  </si>
  <si>
    <t>ORD107</t>
  </si>
  <si>
    <t>ORD108</t>
  </si>
  <si>
    <t>2026-03-11</t>
  </si>
  <si>
    <t>ORD109</t>
  </si>
  <si>
    <t>ORD110</t>
  </si>
  <si>
    <t>ORD111</t>
  </si>
  <si>
    <t>2026-02-04</t>
  </si>
  <si>
    <t>ORD112</t>
  </si>
  <si>
    <t>ORD113</t>
  </si>
  <si>
    <t>2026-02-27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</si>
  <si>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</si>
  <si>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</si>
  <si>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</si>
  <si>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</si>
  <si>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</si>
  <si>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</si>
  <si>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</si>
  <si>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</si>
  <si>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</si>
  <si>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2026-01-25</t>
  </si>
  <si>
    <t>ORD123</t>
  </si>
  <si>
    <t>ORD124</t>
  </si>
  <si>
    <t>ORD125</t>
  </si>
  <si>
    <t>ORD126</t>
  </si>
  <si>
    <t>ORD127</t>
  </si>
  <si>
    <t>ORD128</t>
  </si>
  <si>
    <t>ORD129</t>
  </si>
  <si>
    <t>2026-02-16</t>
  </si>
  <si>
    <t>ORD130</t>
  </si>
  <si>
    <t>2026-01-24</t>
  </si>
  <si>
    <t>ORD131</t>
  </si>
  <si>
    <t>ORD132</t>
  </si>
  <si>
    <t>2026-02-05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</si>
  <si>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</si>
  <si>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</si>
  <si>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</si>
  <si>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</si>
  <si>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</si>
  <si>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</si>
  <si>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</si>
  <si>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</si>
  <si>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</si>
  <si>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2026-01-04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</si>
  <si>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</si>
  <si>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</si>
  <si>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</si>
  <si>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</si>
  <si>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</si>
  <si>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</si>
  <si>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</si>
  <si>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</si>
  <si>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</si>
  <si>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</si>
  <si>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2026-01-20</t>
  </si>
  <si>
    <t>ORD152</t>
  </si>
  <si>
    <t>ORD153</t>
  </si>
  <si>
    <t>ORD154</t>
  </si>
  <si>
    <t>2026-01-07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</si>
  <si>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</si>
  <si>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</si>
  <si>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</si>
  <si>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</si>
  <si>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</si>
  <si>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</si>
  <si>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</si>
  <si>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</si>
  <si>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</si>
  <si>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</si>
  <si>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</si>
  <si>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</si>
  <si>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</si>
  <si>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</si>
  <si>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</si>
  <si>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</si>
  <si>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</si>
  <si>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2026-03-29</t>
  </si>
  <si>
    <t>ORD172</t>
  </si>
  <si>
    <t>ORD173</t>
  </si>
  <si>
    <t>ORD174</t>
  </si>
  <si>
    <t>ORD175</t>
  </si>
  <si>
    <t>ORD176</t>
  </si>
  <si>
    <t>ORD177</t>
  </si>
  <si>
    <t>2026-02-01</t>
  </si>
  <si>
    <t>ORD178</t>
  </si>
  <si>
    <t>ORD179</t>
  </si>
  <si>
    <t>ORD180</t>
  </si>
  <si>
    <t>ORD181</t>
  </si>
  <si>
    <t>ORD182</t>
  </si>
  <si>
    <t>2026-01-10</t>
  </si>
  <si>
    <t>ORD183</t>
  </si>
  <si>
    <t>2026-02-21</t>
  </si>
  <si>
    <t>ORD184</t>
  </si>
  <si>
    <t>2026-02-02</t>
  </si>
  <si>
    <t>ORD185</t>
  </si>
  <si>
    <t>2026-03-04</t>
  </si>
  <si>
    <t>ORD186</t>
  </si>
  <si>
    <t>ORD187</t>
  </si>
  <si>
    <t>2026-02-23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</si>
  <si>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</si>
  <si>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</si>
  <si>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</si>
  <si>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</si>
  <si>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</si>
  <si>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</si>
  <si>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</si>
  <si>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</si>
  <si>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</si>
  <si>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</si>
  <si>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</si>
  <si>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</si>
  <si>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</si>
  <si>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⬇  TO ADD FUTURE SALES: Type new rows directly below the last row above  — the Table expands automatically and ALL charts &amp; the Dashboard update instantly</t>
  </si>
  <si>
    <t>🔢  Auto-Calc  —  All formulas reference the SalesData Table. Add rows to Raw Data → everything updates automatically.</t>
  </si>
  <si>
    <t>KPI</t>
  </si>
  <si>
    <t>Value</t>
  </si>
  <si>
    <t>Total Orders</t>
  </si>
  <si>
    <t>Total Units Sold</t>
  </si>
  <si>
    <t>Avg Order Value (INR)</t>
  </si>
  <si>
    <t>💡  MagnifyScents  ·  Key Insights &amp; Recommendations</t>
  </si>
  <si>
    <t xml:space="preserve">  🏆 TOP PERFORMER</t>
  </si>
  <si>
    <t xml:space="preserve">     'Amber Gold' leads all products by revenue. Keep it well-stocked and promote it across every channel.</t>
  </si>
  <si>
    <t xml:space="preserve">  📱 BEST CHANNEL</t>
  </si>
  <si>
    <t xml:space="preserve">     'In-person' drives the most revenue. Allocate more marketing spend and exclusive offers here.</t>
  </si>
  <si>
    <t xml:space="preserve">  📅 PEAK MONTH</t>
  </si>
  <si>
    <t xml:space="preserve">     Mar 2026 was your strongest month. Identify what drove it — promotions, season, events — and replicate it.</t>
  </si>
  <si>
    <t xml:space="preserve">  📉 QUIET PERIOD</t>
  </si>
  <si>
    <t xml:space="preserve">     Apr 2026 was your slowest month. Plan targeted campaigns or bundle deals during similar periods ahead.</t>
  </si>
  <si>
    <t xml:space="preserve">  💳 PAYMENTS</t>
  </si>
  <si>
    <t xml:space="preserve">     Cash, POS, and Bank Transfer are all active. Always keep all 3 available — restricting options reduces conversions.</t>
  </si>
  <si>
    <t xml:space="preserve">  📦 STOCK ALERT</t>
  </si>
  <si>
    <t xml:space="preserve">     High-demand items like 'Amber Gold' should maintain 10–15 units safety stock at all times. Stockouts = lost revenue.</t>
  </si>
  <si>
    <t xml:space="preserve">  🎯 UPSELL IDEAS</t>
  </si>
  <si>
    <t xml:space="preserve">     Avg order is ₹2,104. Introduce 2-pack bundles, gift sets, or seasonal collections to push this higher.</t>
  </si>
  <si>
    <t xml:space="preserve">  ⚡ AUTO-UPDATE</t>
  </si>
  <si>
    <t xml:space="preserve">     Add new order rows to the Raw Data sheet. The Excel Table expands automatically — every chart, KPI, and table refreshes instantly. No manual work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</si>
</sst>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10"/>
      <color rgb="FFC9B8E8"/>
      <name val="Arial"/>
      <family val="2"/>
    </font>
    <font>
      <b/>
      <sz val="9"/>
      <color rgb="FFC9973A"/>
      <name val="Arial"/>
      <family val="2"/>
    </font>
    <font>
      <b/>
      <sz val="9"/>
      <color rgb="FF5C3D8F"/>
      <name val="Arial"/>
      <family val="2"/>
    </font>
    <font>
      <b/>
      <sz val="9"/>
      <color rgb="FF00695C"/>
      <name val="Arial"/>
      <family val="2"/>
    </font>
    <font>
      <b/>
      <sz val="9"/>
      <color rgb="FFE65100"/>
      <name val="Arial"/>
      <family val="2"/>
    </font>
    <font>
      <b/>
      <sz val="16"/>
      <color rgb="FF2D1B4E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A1A2E"/>
      <name val="Arial"/>
      <family val="2"/>
    </font>
    <font>
      <b/>
      <sz val="9"/>
      <color rgb="FF1A1A2E"/>
      <name val="Arial"/>
      <family val="2"/>
    </font>
    <font>
      <i/>
      <sz val="8"/>
      <color rgb="FFFFFFFF"/>
      <name val="Arial"/>
      <family val="2"/>
    </font>
    <font>
      <b/>
      <sz val="13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1A1A2E"/>
      <name val="Arial"/>
      <family val="2"/>
    </font>
    <font>
      <b/>
      <sz val="11"/>
      <color rgb="FF5C3D8F"/>
      <name val="Arial"/>
      <family val="2"/>
    </font>
    <font>
      <b/>
      <sz val="16"/>
      <color rgb="FFFFFFFF"/>
      <name val="Arial"/>
      <family val="2"/>
    </font>
    <font>
      <sz val="10"/>
      <color rgb="FF1A1A2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D1B4E"/>
        <bgColor rgb="FF1A1A2E"/>
      </patternFill>
    </fill>
    <fill>
      <patternFill patternType="solid">
        <fgColor rgb="FF5C3D8F"/>
        <bgColor rgb="FF993366"/>
      </patternFill>
    </fill>
    <fill>
      <patternFill patternType="solid">
        <fgColor rgb="FFEDE7F6"/>
        <bgColor rgb="FFF4F1FA"/>
      </patternFill>
    </fill>
    <fill>
      <patternFill patternType="solid">
        <fgColor rgb="FFC9973A"/>
        <bgColor rgb="FF9BBB59"/>
      </patternFill>
    </fill>
    <fill>
      <patternFill patternType="solid">
        <fgColor rgb="FF00695C"/>
        <bgColor rgb="FF008080"/>
      </patternFill>
    </fill>
    <fill>
      <patternFill patternType="solid">
        <fgColor rgb="FFE65100"/>
        <bgColor rgb="FFC0504D"/>
      </patternFill>
    </fill>
    <fill>
      <patternFill patternType="solid">
        <fgColor rgb="FFFFFFFF"/>
        <bgColor rgb="FFF4F1FA"/>
      </patternFill>
    </fill>
    <fill>
      <patternFill patternType="solid">
        <fgColor rgb="FFF4F1FA"/>
        <bgColor rgb="FFEDE7F6"/>
      </patternFill>
    </fill>
    <fill>
      <patternFill patternType="solid">
        <fgColor rgb="FFC62828"/>
        <bgColor rgb="FF993366"/>
      </patternFill>
    </fill>
  </fills>
  <borders count="2">
    <border>
      <left/>
      <right/>
      <top/>
      <bottom/>
      <diagonal/>
    </border>
    <border>
      <left style="thin">
        <color rgb="FFD1C4E9"/>
      </left>
      <right style="thin">
        <color rgb="FFD1C4E9"/>
      </right>
      <top style="thin">
        <color rgb="FFD1C4E9"/>
      </top>
      <bottom style="thin">
        <color rgb="FFD1C4E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8" fillId="7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0" fillId="8" borderId="0" xfId="0" applyFill="1"/>
    <xf numFmtId="0" fontId="7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9" fillId="2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9B8E8"/>
      <rgbColor rgb="FF878787"/>
      <rgbColor rgb="FF9B72CF"/>
      <rgbColor rgb="FFC0504D"/>
      <rgbColor rgb="FFF4F1FA"/>
      <rgbColor rgb="FFEDE7F6"/>
      <rgbColor rgb="FF660066"/>
      <rgbColor rgb="FFFF8080"/>
      <rgbColor rgb="FF0066CC"/>
      <rgbColor rgb="FFD1C4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C9973A"/>
      <rgbColor rgb="FFE65100"/>
      <rgbColor rgb="FF607D8B"/>
      <rgbColor rgb="FF90A4AE"/>
      <rgbColor rgb="FF003366"/>
      <rgbColor rgb="FF339966"/>
      <rgbColor rgb="FF003300"/>
      <rgbColor rgb="FF1A1A2E"/>
      <rgbColor rgb="FFC62828"/>
      <rgbColor rgb="FF993366"/>
      <rgbColor rgb="FF5C3D8F"/>
      <rgbColor rgb="FF2D1B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'🔢 Calc'!$B$3</c:f>
              <c:strCache>
                <c:ptCount val="1"/>
                <c:pt idx="0">
                  <c:v>Revenue (INR)</c:v>
                </c:pt>
              </c:strCache>
            </c:strRef>
          </c:tx>
          <c:spPr>
            <a:ln w="28080">
              <a:solidFill>
                <a:srgbClr val="5C3D8F"/>
              </a:solidFill>
              <a:round/>
            </a:ln>
          </c:spPr>
          <c:marker>
            <c:symbol val="circle"/>
            <c:size val="8"/>
            <c:spPr>
              <a:solidFill>
                <a:srgbClr val="5C3D8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Calc'!$A$4:$A$15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'🔢 Calc'!$B$4:$B$15</c:f>
              <c:numCache>
                <c:formatCode>General</c:formatCode>
                <c:ptCount val="12"/>
                <c:pt idx="0">
                  <c:v>137124</c:v>
                </c:pt>
                <c:pt idx="1">
                  <c:v>133380</c:v>
                </c:pt>
                <c:pt idx="2">
                  <c:v>145028</c:v>
                </c:pt>
                <c:pt idx="3">
                  <c:v>5200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9F-454F-A354-54DB2D1A4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244369"/>
        <c:axId val="86445134"/>
      </c:lineChart>
      <c:catAx>
        <c:axId val="64244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445134"/>
        <c:crosses val="autoZero"/>
        <c:auto val="1"/>
        <c:lblAlgn val="ctr"/>
        <c:lblOffset val="100"/>
        <c:noMultiLvlLbl val="0"/>
      </c:catAx>
      <c:valAx>
        <c:axId val="86445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2443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'🔢 Calc'!$C$3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9B72CF"/>
            </a:solidFill>
            <a:ln w="0">
              <a:solidFill>
                <a:srgbClr val="5C3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Calc'!$A$4:$A$15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'🔢 Calc'!$C$4:$C$15</c:f>
              <c:numCache>
                <c:formatCode>General</c:formatCode>
                <c:ptCount val="12"/>
                <c:pt idx="0">
                  <c:v>67</c:v>
                </c:pt>
                <c:pt idx="1">
                  <c:v>61</c:v>
                </c:pt>
                <c:pt idx="2">
                  <c:v>71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E-4601-A081-34B3BCFAD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2217"/>
        <c:axId val="47797940"/>
      </c:barChart>
      <c:catAx>
        <c:axId val="12802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797940"/>
        <c:crosses val="autoZero"/>
        <c:auto val="1"/>
        <c:lblAlgn val="ctr"/>
        <c:lblOffset val="100"/>
        <c:noMultiLvlLbl val="0"/>
      </c:catAx>
      <c:valAx>
        <c:axId val="477979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02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'🔢 Calc'!$G$3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2D1B4E"/>
            </a:solidFill>
            <a:ln w="0">
              <a:solidFill>
                <a:srgbClr val="5C3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Calc'!$F$4:$F$9</c:f>
              <c:strCache>
                <c:ptCount val="6"/>
                <c:pt idx="0">
                  <c:v>Amber Gold</c:v>
                </c:pt>
                <c:pt idx="1">
                  <c:v>Citrus Fresh</c:v>
                </c:pt>
                <c:pt idx="2">
                  <c:v>Midnight Musk</c:v>
                </c:pt>
                <c:pt idx="3">
                  <c:v>Oud Royale</c:v>
                </c:pt>
                <c:pt idx="4">
                  <c:v>Rose Elixir</c:v>
                </c:pt>
                <c:pt idx="5">
                  <c:v>Vanilla Bliss</c:v>
                </c:pt>
              </c:strCache>
            </c:strRef>
          </c:cat>
          <c:val>
            <c:numRef>
              <c:f>'🔢 Calc'!$G$4:$G$9</c:f>
              <c:numCache>
                <c:formatCode>General</c:formatCode>
                <c:ptCount val="6"/>
                <c:pt idx="0">
                  <c:v>96720</c:v>
                </c:pt>
                <c:pt idx="1">
                  <c:v>88920</c:v>
                </c:pt>
                <c:pt idx="2">
                  <c:v>48672</c:v>
                </c:pt>
                <c:pt idx="3">
                  <c:v>41600</c:v>
                </c:pt>
                <c:pt idx="4">
                  <c:v>88140</c:v>
                </c:pt>
                <c:pt idx="5">
                  <c:v>56680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B-4AC6-BA44-6D8CA2F21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10292"/>
        <c:axId val="91013969"/>
      </c:barChart>
      <c:catAx>
        <c:axId val="366102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13969"/>
        <c:crosses val="autoZero"/>
        <c:auto val="1"/>
        <c:lblAlgn val="ctr"/>
        <c:lblOffset val="100"/>
        <c:noMultiLvlLbl val="0"/>
      </c:catAx>
      <c:valAx>
        <c:axId val="910139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102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'🔢 Calc'!$H$3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C9973A"/>
            </a:solidFill>
            <a:ln w="0">
              <a:solidFill>
                <a:srgbClr val="C997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Calc'!$F$4:$F$9</c:f>
              <c:strCache>
                <c:ptCount val="6"/>
                <c:pt idx="0">
                  <c:v>Amber Gold</c:v>
                </c:pt>
                <c:pt idx="1">
                  <c:v>Citrus Fresh</c:v>
                </c:pt>
                <c:pt idx="2">
                  <c:v>Midnight Musk</c:v>
                </c:pt>
                <c:pt idx="3">
                  <c:v>Oud Royale</c:v>
                </c:pt>
                <c:pt idx="4">
                  <c:v>Rose Elixir</c:v>
                </c:pt>
                <c:pt idx="5">
                  <c:v>Vanilla Bliss</c:v>
                </c:pt>
              </c:strCache>
            </c:strRef>
          </c:cat>
          <c:val>
            <c:numRef>
              <c:f>'🔢 Calc'!$H$4:$H$9</c:f>
              <c:numCache>
                <c:formatCode>General</c:formatCode>
                <c:ptCount val="6"/>
                <c:pt idx="0">
                  <c:v>93</c:v>
                </c:pt>
                <c:pt idx="1">
                  <c:v>95</c:v>
                </c:pt>
                <c:pt idx="2">
                  <c:v>78</c:v>
                </c:pt>
                <c:pt idx="3">
                  <c:v>100</c:v>
                </c:pt>
                <c:pt idx="4">
                  <c:v>113</c:v>
                </c:pt>
                <c:pt idx="5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7-4765-BB77-A99FDEDDA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509742"/>
        <c:axId val="62177157"/>
      </c:barChart>
      <c:catAx>
        <c:axId val="9350974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177157"/>
        <c:crosses val="autoZero"/>
        <c:auto val="1"/>
        <c:lblAlgn val="ctr"/>
        <c:lblOffset val="100"/>
        <c:noMultiLvlLbl val="0"/>
      </c:catAx>
      <c:valAx>
        <c:axId val="621771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5097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'🔢 Calc'!$L$3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16B-4E81-9672-B7E4DA5D8E7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16B-4E81-9672-B7E4DA5D8E7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16B-4E81-9672-B7E4DA5D8E7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16B-4E81-9672-B7E4DA5D8E7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16B-4E81-9672-B7E4DA5D8E7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16B-4E81-9672-B7E4DA5D8E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'🔢 Calc'!$K$4:$K$6</c:f>
              <c:strCache>
                <c:ptCount val="3"/>
                <c:pt idx="0">
                  <c:v>In-person</c:v>
                </c:pt>
                <c:pt idx="1">
                  <c:v>Instagram</c:v>
                </c:pt>
                <c:pt idx="2">
                  <c:v>WhatsApp</c:v>
                </c:pt>
              </c:strCache>
            </c:strRef>
          </c:cat>
          <c:val>
            <c:numRef>
              <c:f>'🔢 Calc'!$L$4:$L$6</c:f>
              <c:numCache>
                <c:formatCode>General</c:formatCode>
                <c:ptCount val="3"/>
                <c:pt idx="0">
                  <c:v>154388</c:v>
                </c:pt>
                <c:pt idx="1">
                  <c:v>141752</c:v>
                </c:pt>
                <c:pt idx="2">
                  <c:v>124592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6B-4E81-9672-B7E4DA5D8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'🔢 Calc'!$P$3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E38-4B03-BADB-259C1463DFE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E38-4B03-BADB-259C1463DFE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E38-4B03-BADB-259C1463DFE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E38-4B03-BADB-259C1463DFE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E38-4B03-BADB-259C1463DFE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E38-4B03-BADB-259C1463DF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'🔢 Calc'!$O$4:$O$6</c:f>
              <c:strCache>
                <c:ptCount val="3"/>
                <c:pt idx="0">
                  <c:v>Cash</c:v>
                </c:pt>
                <c:pt idx="1">
                  <c:v>POS</c:v>
                </c:pt>
                <c:pt idx="2">
                  <c:v>Transfer</c:v>
                </c:pt>
              </c:strCache>
            </c:strRef>
          </c:cat>
          <c:val>
            <c:numRef>
              <c:f>'🔢 Calc'!$P$4:$P$6</c:f>
              <c:numCache>
                <c:formatCode>General</c:formatCode>
                <c:ptCount val="3"/>
                <c:pt idx="0">
                  <c:v>111748</c:v>
                </c:pt>
                <c:pt idx="1">
                  <c:v>165620</c:v>
                </c:pt>
                <c:pt idx="2">
                  <c:v>143364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38-4B03-BADB-259C1463D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'🔢 Calc'!$T$3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E651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Calc'!$S$4:$S$6</c:f>
              <c:strCache>
                <c:ptCount val="3"/>
                <c:pt idx="0">
                  <c:v>Men</c:v>
                </c:pt>
                <c:pt idx="1">
                  <c:v>Unisex</c:v>
                </c:pt>
                <c:pt idx="2">
                  <c:v>Women</c:v>
                </c:pt>
              </c:strCache>
            </c:strRef>
          </c:cat>
          <c:val>
            <c:numRef>
              <c:f>'🔢 Calc'!$T$4:$T$6</c:f>
              <c:numCache>
                <c:formatCode>General</c:formatCode>
                <c:ptCount val="3"/>
                <c:pt idx="0">
                  <c:v>145392</c:v>
                </c:pt>
                <c:pt idx="1">
                  <c:v>130520</c:v>
                </c:pt>
                <c:pt idx="2">
                  <c:v>144820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8-425D-A984-0CDB6DCBB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94391"/>
        <c:axId val="36178081"/>
      </c:barChart>
      <c:catAx>
        <c:axId val="42494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78081"/>
        <c:crosses val="autoZero"/>
        <c:auto val="1"/>
        <c:lblAlgn val="ctr"/>
        <c:lblOffset val="100"/>
        <c:noMultiLvlLbl val="0"/>
      </c:catAx>
      <c:valAx>
        <c:axId val="36178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94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'🔢 Calc'!$U$3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0069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Calc'!$S$4:$S$6</c:f>
              <c:strCache>
                <c:ptCount val="3"/>
                <c:pt idx="0">
                  <c:v>Men</c:v>
                </c:pt>
                <c:pt idx="1">
                  <c:v>Unisex</c:v>
                </c:pt>
                <c:pt idx="2">
                  <c:v>Women</c:v>
                </c:pt>
              </c:strCache>
            </c:strRef>
          </c:cat>
          <c:val>
            <c:numRef>
              <c:f>'🔢 Calc'!$U$4:$U$6</c:f>
              <c:numCache>
                <c:formatCode>General</c:formatCode>
                <c:ptCount val="3"/>
                <c:pt idx="0">
                  <c:v>171</c:v>
                </c:pt>
                <c:pt idx="1">
                  <c:v>195</c:v>
                </c:pt>
                <c:pt idx="2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5-49F8-BDA1-4CA445E96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40015"/>
        <c:axId val="82464206"/>
      </c:barChart>
      <c:catAx>
        <c:axId val="2374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64206"/>
        <c:crosses val="autoZero"/>
        <c:auto val="1"/>
        <c:lblAlgn val="ctr"/>
        <c:lblOffset val="100"/>
        <c:noMultiLvlLbl val="0"/>
      </c:catAx>
      <c:valAx>
        <c:axId val="82464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400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10</xdr:col>
      <xdr:colOff>136080</xdr:colOff>
      <xdr:row>25</xdr:row>
      <xdr:rowOff>46015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</xdr:row>
      <xdr:rowOff>0</xdr:rowOff>
    </xdr:from>
    <xdr:to>
      <xdr:col>14</xdr:col>
      <xdr:colOff>85280</xdr:colOff>
      <xdr:row>25</xdr:row>
      <xdr:rowOff>46015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136080</xdr:colOff>
      <xdr:row>43</xdr:row>
      <xdr:rowOff>46015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14</xdr:col>
      <xdr:colOff>85280</xdr:colOff>
      <xdr:row>43</xdr:row>
      <xdr:rowOff>46015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10</xdr:col>
      <xdr:colOff>136080</xdr:colOff>
      <xdr:row>61</xdr:row>
      <xdr:rowOff>46015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39</xdr:row>
      <xdr:rowOff>0</xdr:rowOff>
    </xdr:from>
    <xdr:to>
      <xdr:col>14</xdr:col>
      <xdr:colOff>85280</xdr:colOff>
      <xdr:row>61</xdr:row>
      <xdr:rowOff>49190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10</xdr:col>
      <xdr:colOff>136080</xdr:colOff>
      <xdr:row>79</xdr:row>
      <xdr:rowOff>68105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57</xdr:row>
      <xdr:rowOff>0</xdr:rowOff>
    </xdr:from>
    <xdr:to>
      <xdr:col>14</xdr:col>
      <xdr:colOff>85280</xdr:colOff>
      <xdr:row>79</xdr:row>
      <xdr:rowOff>68105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I201" totalsRowShown="0">
  <autoFilter ref="A1:I201" xr:uid="{00000000-0009-0000-0100-000001000000}"/>
  <tableColumns count="9">
    <tableColumn id="1" xr3:uid="{00000000-0010-0000-0000-000001000000}" name="Order ID"/>
    <tableColumn id="2" xr3:uid="{00000000-0010-0000-0000-000002000000}" name="Date"/>
    <tableColumn id="3" xr3:uid="{00000000-0010-0000-0000-000003000000}" name="Product Name"/>
    <tableColumn id="4" xr3:uid="{00000000-0010-0000-0000-000004000000}" name="Category"/>
    <tableColumn id="5" xr3:uid="{00000000-0010-0000-0000-000005000000}" name="Quantity"/>
    <tableColumn id="6" xr3:uid="{00000000-0010-0000-0000-000006000000}" name="Sales Channel"/>
    <tableColumn id="7" xr3:uid="{00000000-0010-0000-0000-000007000000}" name="Payment Method"/>
    <tableColumn id="8" xr3:uid="{00000000-0010-0000-0000-000008000000}" name="Unit Price (INR)"/>
    <tableColumn id="9" xr3:uid="{00000000-0010-0000-0000-000009000000}" name="Total Revenue (INR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1B4E"/>
  </sheetPr>
  <dimension ref="A1:J42"/>
  <sheetViews>
    <sheetView showGridLines="0" zoomScaleNormal="100" workbookViewId="0">
      <selection activeCell="N13" sqref="N13"/>
    </sheetView>
  </sheetViews>
  <sheetFormatPr defaultColWidth="8.6328125" defaultRowHeight="14.5" x14ac:dyDescent="0.35"/>
  <cols>
    <col min="1" max="1" width="1" customWidth="1"/>
    <col min="2" max="9" width="15" customWidth="1"/>
    <col min="10" max="10" width="1" customWidth="1"/>
  </cols>
  <sheetData>
    <row r="1" spans="1:10" ht="7.5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51.75" customHeight="1" x14ac:dyDescent="0.35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5"/>
    </row>
    <row r="3" spans="1:10" ht="21.75" customHeight="1" x14ac:dyDescent="0.35">
      <c r="A3" s="16"/>
      <c r="B3" s="13" t="s">
        <v>1</v>
      </c>
      <c r="C3" s="13"/>
      <c r="D3" s="13"/>
      <c r="E3" s="13"/>
      <c r="F3" s="13"/>
      <c r="G3" s="13"/>
      <c r="H3" s="13"/>
      <c r="I3" s="13"/>
      <c r="J3" s="16"/>
    </row>
    <row r="4" spans="1:10" ht="7.5" customHeight="1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 ht="6" customHeight="1" x14ac:dyDescent="0.35">
      <c r="B5" s="18"/>
      <c r="C5" s="18"/>
      <c r="D5" s="16"/>
      <c r="E5" s="16"/>
      <c r="F5" s="19"/>
      <c r="G5" s="19"/>
      <c r="H5" s="20"/>
      <c r="I5" s="20"/>
    </row>
    <row r="6" spans="1:10" ht="30" customHeight="1" x14ac:dyDescent="0.35">
      <c r="B6" s="12" t="s">
        <v>2</v>
      </c>
      <c r="C6" s="12"/>
      <c r="D6" s="11" t="s">
        <v>3</v>
      </c>
      <c r="E6" s="11"/>
      <c r="F6" s="10" t="s">
        <v>4</v>
      </c>
      <c r="G6" s="10"/>
      <c r="H6" s="9" t="s">
        <v>5</v>
      </c>
      <c r="I6" s="9"/>
    </row>
    <row r="7" spans="1:10" ht="33.75" customHeight="1" x14ac:dyDescent="0.35">
      <c r="B7" s="8" t="str">
        <f>TEXT('🔢 Calc'!B21,"₹#,##0")</f>
        <v>₹420,732</v>
      </c>
      <c r="C7" s="8"/>
      <c r="D7" s="8">
        <f>'🔢 Calc'!B22</f>
        <v>200</v>
      </c>
      <c r="E7" s="8"/>
      <c r="F7" s="8">
        <f>'🔢 Calc'!B23</f>
        <v>588</v>
      </c>
      <c r="G7" s="8"/>
      <c r="H7" s="8" t="str">
        <f>TEXT('🔢 Calc'!B24,"₹#,##0")</f>
        <v>₹2,104</v>
      </c>
      <c r="I7" s="8"/>
    </row>
    <row r="8" spans="1:10" ht="12" customHeight="1" x14ac:dyDescent="0.35">
      <c r="B8" s="7"/>
      <c r="C8" s="7"/>
      <c r="D8" s="7"/>
      <c r="E8" s="7"/>
      <c r="F8" s="7"/>
      <c r="G8" s="7"/>
      <c r="H8" s="7"/>
      <c r="I8" s="7"/>
    </row>
    <row r="9" spans="1:10" ht="12" customHeight="1" x14ac:dyDescent="0.35">
      <c r="B9" s="7"/>
      <c r="C9" s="7"/>
      <c r="D9" s="7"/>
      <c r="E9" s="7"/>
      <c r="F9" s="7"/>
      <c r="G9" s="7"/>
      <c r="H9" s="7"/>
      <c r="I9" s="7"/>
    </row>
    <row r="10" spans="1:10" ht="7.5" customHeight="1" x14ac:dyDescent="0.35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0" ht="21.75" customHeight="1" x14ac:dyDescent="0.35">
      <c r="B11" s="6" t="s">
        <v>6</v>
      </c>
      <c r="C11" s="6"/>
      <c r="D11" s="6"/>
      <c r="E11" s="6"/>
      <c r="F11" s="6"/>
      <c r="G11" s="6"/>
      <c r="H11" s="6"/>
      <c r="I11" s="6"/>
    </row>
    <row r="12" spans="1:10" ht="19.5" customHeight="1" x14ac:dyDescent="0.35">
      <c r="B12" s="21" t="s">
        <v>7</v>
      </c>
      <c r="C12" s="21" t="s">
        <v>8</v>
      </c>
      <c r="D12" s="21" t="s">
        <v>9</v>
      </c>
      <c r="E12" s="21" t="s">
        <v>10</v>
      </c>
      <c r="F12" s="21" t="s">
        <v>11</v>
      </c>
      <c r="G12" s="21" t="s">
        <v>12</v>
      </c>
      <c r="H12" s="21"/>
      <c r="I12" s="21"/>
    </row>
    <row r="13" spans="1:10" ht="16.5" customHeight="1" x14ac:dyDescent="0.35">
      <c r="B13" s="22" t="s">
        <v>13</v>
      </c>
      <c r="C13" s="22" t="str">
        <f>IFERROR(TEXT('🔢 Calc'!B4,"₹#,##0"),"—")</f>
        <v>₹137,124</v>
      </c>
      <c r="D13" s="22">
        <f>IFERROR('🔢 Calc'!C4,"—")</f>
        <v>67</v>
      </c>
      <c r="E13" s="22">
        <f>IFERROR('🔢 Calc'!D4,"—")</f>
        <v>190</v>
      </c>
      <c r="F13" s="22" t="str">
        <f>IFERROR(TEXT('🔢 Calc'!B4/'🔢 Calc'!C4,"₹#,##0"),"—")</f>
        <v>₹2,047</v>
      </c>
      <c r="G13" s="22" t="s">
        <v>14</v>
      </c>
      <c r="H13" s="22"/>
      <c r="I13" s="22"/>
    </row>
    <row r="14" spans="1:10" ht="16.5" customHeight="1" x14ac:dyDescent="0.35">
      <c r="B14" s="23" t="s">
        <v>15</v>
      </c>
      <c r="C14" s="23" t="str">
        <f>IFERROR(TEXT('🔢 Calc'!B5,"₹#,##0"),"—")</f>
        <v>₹133,380</v>
      </c>
      <c r="D14" s="23">
        <f>IFERROR('🔢 Calc'!C5,"—")</f>
        <v>61</v>
      </c>
      <c r="E14" s="23">
        <f>IFERROR('🔢 Calc'!D5,"—")</f>
        <v>184</v>
      </c>
      <c r="F14" s="23" t="str">
        <f>IFERROR(TEXT('🔢 Calc'!B5/'🔢 Calc'!C5,"₹#,##0"),"—")</f>
        <v>₹2,187</v>
      </c>
      <c r="G14" s="23" t="str">
        <f>IFERROR(IF(AND(ISNUMBER('🔢 Calc'!B5),ISNUMBER('🔢 Calc'!B4)),TEXT(('🔢 Calc'!B5-'🔢 Calc'!B4)/'🔢 Calc'!B4,"+0.0%;-0.0%"),"—"),"—")</f>
        <v>-2.7%</v>
      </c>
      <c r="H14" s="23"/>
      <c r="I14" s="23"/>
    </row>
    <row r="15" spans="1:10" ht="16.5" customHeight="1" x14ac:dyDescent="0.35">
      <c r="B15" s="22" t="s">
        <v>16</v>
      </c>
      <c r="C15" s="22" t="str">
        <f>IFERROR(TEXT('🔢 Calc'!B6,"₹#,##0"),"—")</f>
        <v>₹145,028</v>
      </c>
      <c r="D15" s="22">
        <f>IFERROR('🔢 Calc'!C6,"—")</f>
        <v>71</v>
      </c>
      <c r="E15" s="22">
        <f>IFERROR('🔢 Calc'!D6,"—")</f>
        <v>209</v>
      </c>
      <c r="F15" s="22" t="str">
        <f>IFERROR(TEXT('🔢 Calc'!B6/'🔢 Calc'!C6,"₹#,##0"),"—")</f>
        <v>₹2,043</v>
      </c>
      <c r="G15" s="22" t="str">
        <f>IFERROR(IF(AND(ISNUMBER('🔢 Calc'!B6),ISNUMBER('🔢 Calc'!B5)),TEXT(('🔢 Calc'!B6-'🔢 Calc'!B5)/'🔢 Calc'!B5,"+0.0%;-0.0%"),"—"),"—")</f>
        <v>+8.7%</v>
      </c>
      <c r="H15" s="22"/>
      <c r="I15" s="22"/>
    </row>
    <row r="16" spans="1:10" ht="16.5" customHeight="1" x14ac:dyDescent="0.35">
      <c r="B16" s="23" t="s">
        <v>17</v>
      </c>
      <c r="C16" s="23" t="str">
        <f>IFERROR(TEXT('🔢 Calc'!B7,"₹#,##0"),"—")</f>
        <v>₹5,200</v>
      </c>
      <c r="D16" s="23">
        <f>IFERROR('🔢 Calc'!C7,"—")</f>
        <v>1</v>
      </c>
      <c r="E16" s="23">
        <f>IFERROR('🔢 Calc'!D7,"—")</f>
        <v>5</v>
      </c>
      <c r="F16" s="23" t="str">
        <f>IFERROR(TEXT('🔢 Calc'!B7/'🔢 Calc'!C7,"₹#,##0"),"—")</f>
        <v>₹5,200</v>
      </c>
      <c r="G16" s="23" t="str">
        <f>IFERROR(IF(AND(ISNUMBER('🔢 Calc'!B7),ISNUMBER('🔢 Calc'!B6)),TEXT(('🔢 Calc'!B7-'🔢 Calc'!B6)/'🔢 Calc'!B6,"+0.0%;-0.0%"),"—"),"—")</f>
        <v>-96.4%</v>
      </c>
      <c r="H16" s="23"/>
      <c r="I16" s="23"/>
    </row>
    <row r="17" spans="1:10" ht="16.5" customHeight="1" x14ac:dyDescent="0.35">
      <c r="B17" s="22" t="s">
        <v>18</v>
      </c>
      <c r="C17" s="22" t="str">
        <f>IFERROR(TEXT('🔢 Calc'!B8,"₹#,##0"),"—")</f>
        <v>₹0</v>
      </c>
      <c r="D17" s="22">
        <f>IFERROR('🔢 Calc'!C8,"—")</f>
        <v>0</v>
      </c>
      <c r="E17" s="22">
        <f>IFERROR('🔢 Calc'!D8,"—")</f>
        <v>0</v>
      </c>
      <c r="F17" s="22" t="str">
        <f>IFERROR(TEXT('🔢 Calc'!B8/'🔢 Calc'!C8,"₹#,##0"),"—")</f>
        <v>—</v>
      </c>
      <c r="G17" s="22" t="str">
        <f>IFERROR(IF(AND(ISNUMBER('🔢 Calc'!B8),ISNUMBER('🔢 Calc'!B7)),TEXT(('🔢 Calc'!B8-'🔢 Calc'!B7)/'🔢 Calc'!B7,"+0.0%;-0.0%"),"—"),"—")</f>
        <v>-100.0%</v>
      </c>
      <c r="H17" s="22"/>
      <c r="I17" s="22"/>
    </row>
    <row r="18" spans="1:10" ht="16.5" customHeight="1" x14ac:dyDescent="0.35">
      <c r="B18" s="23" t="s">
        <v>19</v>
      </c>
      <c r="C18" s="23" t="str">
        <f>IFERROR(TEXT('🔢 Calc'!B9,"₹#,##0"),"—")</f>
        <v>₹0</v>
      </c>
      <c r="D18" s="23">
        <f>IFERROR('🔢 Calc'!C9,"—")</f>
        <v>0</v>
      </c>
      <c r="E18" s="23">
        <f>IFERROR('🔢 Calc'!D9,"—")</f>
        <v>0</v>
      </c>
      <c r="F18" s="23" t="str">
        <f>IFERROR(TEXT('🔢 Calc'!B9/'🔢 Calc'!C9,"₹#,##0"),"—")</f>
        <v>—</v>
      </c>
      <c r="G18" s="23" t="str">
        <f>IFERROR(IF(AND(ISNUMBER('🔢 Calc'!B9),ISNUMBER('🔢 Calc'!B8)),TEXT(('🔢 Calc'!B9-'🔢 Calc'!B8)/'🔢 Calc'!B8,"+0.0%;-0.0%"),"—"),"—")</f>
        <v>—</v>
      </c>
      <c r="H18" s="23"/>
      <c r="I18" s="23"/>
    </row>
    <row r="19" spans="1:10" ht="16.5" customHeight="1" x14ac:dyDescent="0.35">
      <c r="B19" s="22" t="s">
        <v>20</v>
      </c>
      <c r="C19" s="22" t="str">
        <f>IFERROR(TEXT('🔢 Calc'!B10,"₹#,##0"),"—")</f>
        <v>₹0</v>
      </c>
      <c r="D19" s="22">
        <f>IFERROR('🔢 Calc'!C10,"—")</f>
        <v>0</v>
      </c>
      <c r="E19" s="22">
        <f>IFERROR('🔢 Calc'!D10,"—")</f>
        <v>0</v>
      </c>
      <c r="F19" s="22" t="str">
        <f>IFERROR(TEXT('🔢 Calc'!B10/'🔢 Calc'!C10,"₹#,##0"),"—")</f>
        <v>—</v>
      </c>
      <c r="G19" s="22" t="str">
        <f>IFERROR(IF(AND(ISNUMBER('🔢 Calc'!B10),ISNUMBER('🔢 Calc'!B9)),TEXT(('🔢 Calc'!B10-'🔢 Calc'!B9)/'🔢 Calc'!B9,"+0.0%;-0.0%"),"—"),"—")</f>
        <v>—</v>
      </c>
      <c r="H19" s="22"/>
      <c r="I19" s="22"/>
    </row>
    <row r="20" spans="1:10" ht="16.5" customHeight="1" x14ac:dyDescent="0.35">
      <c r="B20" s="23" t="s">
        <v>21</v>
      </c>
      <c r="C20" s="23" t="str">
        <f>IFERROR(TEXT('🔢 Calc'!B11,"₹#,##0"),"—")</f>
        <v>₹0</v>
      </c>
      <c r="D20" s="23">
        <f>IFERROR('🔢 Calc'!C11,"—")</f>
        <v>0</v>
      </c>
      <c r="E20" s="23">
        <f>IFERROR('🔢 Calc'!D11,"—")</f>
        <v>0</v>
      </c>
      <c r="F20" s="23" t="str">
        <f>IFERROR(TEXT('🔢 Calc'!B11/'🔢 Calc'!C11,"₹#,##0"),"—")</f>
        <v>—</v>
      </c>
      <c r="G20" s="23" t="str">
        <f>IFERROR(IF(AND(ISNUMBER('🔢 Calc'!B11),ISNUMBER('🔢 Calc'!B10)),TEXT(('🔢 Calc'!B11-'🔢 Calc'!B10)/'🔢 Calc'!B10,"+0.0%;-0.0%"),"—"),"—")</f>
        <v>—</v>
      </c>
      <c r="H20" s="23"/>
      <c r="I20" s="23"/>
    </row>
    <row r="21" spans="1:10" ht="16.5" customHeight="1" x14ac:dyDescent="0.35">
      <c r="B21" s="22" t="s">
        <v>22</v>
      </c>
      <c r="C21" s="22" t="str">
        <f>IFERROR(TEXT('🔢 Calc'!B12,"₹#,##0"),"—")</f>
        <v>₹0</v>
      </c>
      <c r="D21" s="22">
        <f>IFERROR('🔢 Calc'!C12,"—")</f>
        <v>0</v>
      </c>
      <c r="E21" s="22">
        <f>IFERROR('🔢 Calc'!D12,"—")</f>
        <v>0</v>
      </c>
      <c r="F21" s="22" t="str">
        <f>IFERROR(TEXT('🔢 Calc'!B12/'🔢 Calc'!C12,"₹#,##0"),"—")</f>
        <v>—</v>
      </c>
      <c r="G21" s="22" t="str">
        <f>IFERROR(IF(AND(ISNUMBER('🔢 Calc'!B12),ISNUMBER('🔢 Calc'!B11)),TEXT(('🔢 Calc'!B12-'🔢 Calc'!B11)/'🔢 Calc'!B11,"+0.0%;-0.0%"),"—"),"—")</f>
        <v>—</v>
      </c>
      <c r="H21" s="22"/>
      <c r="I21" s="22"/>
    </row>
    <row r="22" spans="1:10" ht="16.5" customHeight="1" x14ac:dyDescent="0.35">
      <c r="B22" s="23" t="s">
        <v>23</v>
      </c>
      <c r="C22" s="23" t="str">
        <f>IFERROR(TEXT('🔢 Calc'!B13,"₹#,##0"),"—")</f>
        <v>₹0</v>
      </c>
      <c r="D22" s="23">
        <f>IFERROR('🔢 Calc'!C13,"—")</f>
        <v>0</v>
      </c>
      <c r="E22" s="23">
        <f>IFERROR('🔢 Calc'!D13,"—")</f>
        <v>0</v>
      </c>
      <c r="F22" s="23" t="str">
        <f>IFERROR(TEXT('🔢 Calc'!B13/'🔢 Calc'!C13,"₹#,##0"),"—")</f>
        <v>—</v>
      </c>
      <c r="G22" s="23" t="str">
        <f>IFERROR(IF(AND(ISNUMBER('🔢 Calc'!B13),ISNUMBER('🔢 Calc'!B12)),TEXT(('🔢 Calc'!B13-'🔢 Calc'!B12)/'🔢 Calc'!B12,"+0.0%;-0.0%"),"—"),"—")</f>
        <v>—</v>
      </c>
      <c r="H22" s="23"/>
      <c r="I22" s="23"/>
    </row>
    <row r="23" spans="1:10" ht="16.5" customHeight="1" x14ac:dyDescent="0.35">
      <c r="B23" s="22" t="s">
        <v>24</v>
      </c>
      <c r="C23" s="22" t="str">
        <f>IFERROR(TEXT('🔢 Calc'!B14,"₹#,##0"),"—")</f>
        <v>₹0</v>
      </c>
      <c r="D23" s="22">
        <f>IFERROR('🔢 Calc'!C14,"—")</f>
        <v>0</v>
      </c>
      <c r="E23" s="22">
        <f>IFERROR('🔢 Calc'!D14,"—")</f>
        <v>0</v>
      </c>
      <c r="F23" s="22" t="str">
        <f>IFERROR(TEXT('🔢 Calc'!B14/'🔢 Calc'!C14,"₹#,##0"),"—")</f>
        <v>—</v>
      </c>
      <c r="G23" s="22" t="str">
        <f>IFERROR(IF(AND(ISNUMBER('🔢 Calc'!B14),ISNUMBER('🔢 Calc'!B13)),TEXT(('🔢 Calc'!B14-'🔢 Calc'!B13)/'🔢 Calc'!B13,"+0.0%;-0.0%"),"—"),"—")</f>
        <v>—</v>
      </c>
      <c r="H23" s="22"/>
      <c r="I23" s="22"/>
    </row>
    <row r="24" spans="1:10" ht="16.5" customHeight="1" x14ac:dyDescent="0.35">
      <c r="B24" s="23" t="s">
        <v>25</v>
      </c>
      <c r="C24" s="23" t="str">
        <f>IFERROR(TEXT('🔢 Calc'!B15,"₹#,##0"),"—")</f>
        <v>₹0</v>
      </c>
      <c r="D24" s="23">
        <f>IFERROR('🔢 Calc'!C15,"—")</f>
        <v>0</v>
      </c>
      <c r="E24" s="23">
        <f>IFERROR('🔢 Calc'!D15,"—")</f>
        <v>0</v>
      </c>
      <c r="F24" s="23" t="str">
        <f>IFERROR(TEXT('🔢 Calc'!B15/'🔢 Calc'!C15,"₹#,##0"),"—")</f>
        <v>—</v>
      </c>
      <c r="G24" s="23" t="str">
        <f>IFERROR(IF(AND(ISNUMBER('🔢 Calc'!B15),ISNUMBER('🔢 Calc'!B14)),TEXT(('🔢 Calc'!B15-'🔢 Calc'!B14)/'🔢 Calc'!B14,"+0.0%;-0.0%"),"—"),"—")</f>
        <v>—</v>
      </c>
      <c r="H24" s="23"/>
      <c r="I24" s="23"/>
    </row>
    <row r="26" spans="1:10" ht="7.5" customHeight="1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spans="1:10" ht="21.75" customHeight="1" x14ac:dyDescent="0.35">
      <c r="B27" s="6" t="s">
        <v>26</v>
      </c>
      <c r="C27" s="6"/>
      <c r="D27" s="6"/>
      <c r="E27" s="6"/>
      <c r="F27" s="6" t="s">
        <v>27</v>
      </c>
      <c r="G27" s="6"/>
      <c r="H27" s="6"/>
      <c r="I27" s="6"/>
    </row>
    <row r="28" spans="1:10" ht="19.5" customHeight="1" x14ac:dyDescent="0.35">
      <c r="B28" s="21" t="s">
        <v>28</v>
      </c>
      <c r="C28" s="21" t="s">
        <v>8</v>
      </c>
      <c r="D28" s="21" t="s">
        <v>10</v>
      </c>
      <c r="E28" s="21" t="s">
        <v>9</v>
      </c>
      <c r="F28" s="21" t="s">
        <v>29</v>
      </c>
      <c r="G28" s="21" t="s">
        <v>8</v>
      </c>
      <c r="H28" s="21" t="s">
        <v>9</v>
      </c>
      <c r="I28" s="21" t="s">
        <v>30</v>
      </c>
    </row>
    <row r="29" spans="1:10" ht="16.5" customHeight="1" x14ac:dyDescent="0.35">
      <c r="B29" s="24" t="s">
        <v>31</v>
      </c>
      <c r="C29" s="22" t="str">
        <f>TEXT('🔢 Calc'!G4,"₹#,##0")</f>
        <v>₹96,720</v>
      </c>
      <c r="D29" s="22">
        <f>'🔢 Calc'!H4</f>
        <v>93</v>
      </c>
      <c r="E29" s="22">
        <f>'🔢 Calc'!I4</f>
        <v>29</v>
      </c>
      <c r="F29" s="22" t="s">
        <v>32</v>
      </c>
      <c r="G29" s="22" t="str">
        <f>TEXT('🔢 Calc'!L4,"₹#,##0")</f>
        <v>₹154,388</v>
      </c>
      <c r="H29" s="22">
        <f>'🔢 Calc'!M4</f>
        <v>75</v>
      </c>
      <c r="I29" s="22" t="str">
        <f>IFERROR(TEXT('🔢 Calc'!L4/(SUM('🔢 Calc'!L4:L6)),"0.0%"),"—")</f>
        <v>36.7%</v>
      </c>
    </row>
    <row r="30" spans="1:10" ht="16.5" customHeight="1" x14ac:dyDescent="0.35">
      <c r="B30" s="25" t="s">
        <v>33</v>
      </c>
      <c r="C30" s="23" t="str">
        <f>TEXT('🔢 Calc'!G5,"₹#,##0")</f>
        <v>₹88,920</v>
      </c>
      <c r="D30" s="23">
        <f>'🔢 Calc'!H5</f>
        <v>95</v>
      </c>
      <c r="E30" s="23">
        <f>'🔢 Calc'!I5</f>
        <v>38</v>
      </c>
      <c r="F30" s="23" t="s">
        <v>34</v>
      </c>
      <c r="G30" s="23" t="str">
        <f>TEXT('🔢 Calc'!L5,"₹#,##0")</f>
        <v>₹141,752</v>
      </c>
      <c r="H30" s="23">
        <f>'🔢 Calc'!M5</f>
        <v>64</v>
      </c>
      <c r="I30" s="23" t="str">
        <f>IFERROR(TEXT('🔢 Calc'!L5/(SUM('🔢 Calc'!L4:L6)),"0.0%"),"—")</f>
        <v>33.7%</v>
      </c>
    </row>
    <row r="31" spans="1:10" ht="16.5" customHeight="1" x14ac:dyDescent="0.35">
      <c r="B31" s="26" t="s">
        <v>35</v>
      </c>
      <c r="C31" s="22" t="str">
        <f>TEXT('🔢 Calc'!G8,"₹#,##0")</f>
        <v>₹88,140</v>
      </c>
      <c r="D31" s="22">
        <f>'🔢 Calc'!H8</f>
        <v>113</v>
      </c>
      <c r="E31" s="22">
        <f>'🔢 Calc'!I8</f>
        <v>37</v>
      </c>
      <c r="F31" s="22" t="s">
        <v>36</v>
      </c>
      <c r="G31" s="22" t="str">
        <f>TEXT('🔢 Calc'!L6,"₹#,##0")</f>
        <v>₹124,592</v>
      </c>
      <c r="H31" s="22">
        <f>'🔢 Calc'!M6</f>
        <v>61</v>
      </c>
      <c r="I31" s="22" t="str">
        <f>IFERROR(TEXT('🔢 Calc'!L6/(SUM('🔢 Calc'!L4:L6)),"0.0%"),"—")</f>
        <v>29.6%</v>
      </c>
    </row>
    <row r="32" spans="1:10" ht="16.5" customHeight="1" x14ac:dyDescent="0.35">
      <c r="B32" s="25" t="s">
        <v>37</v>
      </c>
      <c r="C32" s="23" t="str">
        <f>TEXT('🔢 Calc'!G9,"₹#,##0")</f>
        <v>₹56,680</v>
      </c>
      <c r="D32" s="23">
        <f>'🔢 Calc'!H9</f>
        <v>109</v>
      </c>
      <c r="E32" s="23">
        <f>'🔢 Calc'!I9</f>
        <v>35</v>
      </c>
    </row>
    <row r="33" spans="1:10" ht="16.5" customHeight="1" x14ac:dyDescent="0.35">
      <c r="B33" s="26" t="s">
        <v>38</v>
      </c>
      <c r="C33" s="22" t="str">
        <f>TEXT('🔢 Calc'!G6,"₹#,##0")</f>
        <v>₹48,672</v>
      </c>
      <c r="D33" s="22">
        <f>'🔢 Calc'!H6</f>
        <v>78</v>
      </c>
      <c r="E33" s="22">
        <f>'🔢 Calc'!I6</f>
        <v>29</v>
      </c>
    </row>
    <row r="34" spans="1:10" ht="16.5" customHeight="1" x14ac:dyDescent="0.35">
      <c r="B34" s="25" t="s">
        <v>39</v>
      </c>
      <c r="C34" s="23" t="str">
        <f>TEXT('🔢 Calc'!G7,"₹#,##0")</f>
        <v>₹41,600</v>
      </c>
      <c r="D34" s="23">
        <f>'🔢 Calc'!H7</f>
        <v>100</v>
      </c>
      <c r="E34" s="23">
        <f>'🔢 Calc'!I7</f>
        <v>32</v>
      </c>
    </row>
    <row r="35" spans="1:10" ht="7.5" customHeight="1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spans="1:10" ht="21.75" customHeight="1" x14ac:dyDescent="0.35">
      <c r="B36" s="6" t="s">
        <v>40</v>
      </c>
      <c r="C36" s="6"/>
      <c r="D36" s="6"/>
      <c r="E36" s="6"/>
      <c r="F36" s="6" t="s">
        <v>41</v>
      </c>
      <c r="G36" s="6"/>
      <c r="H36" s="6"/>
      <c r="I36" s="6"/>
    </row>
    <row r="37" spans="1:10" ht="19.5" customHeight="1" x14ac:dyDescent="0.35">
      <c r="B37" s="21" t="s">
        <v>42</v>
      </c>
      <c r="C37" s="21" t="s">
        <v>8</v>
      </c>
      <c r="D37" s="21" t="s">
        <v>9</v>
      </c>
      <c r="E37" s="21" t="s">
        <v>30</v>
      </c>
      <c r="F37" s="21" t="s">
        <v>43</v>
      </c>
      <c r="G37" s="21" t="s">
        <v>8</v>
      </c>
      <c r="H37" s="21" t="s">
        <v>10</v>
      </c>
      <c r="I37" s="21" t="s">
        <v>30</v>
      </c>
    </row>
    <row r="38" spans="1:10" ht="16.5" customHeight="1" x14ac:dyDescent="0.35">
      <c r="B38" s="22" t="s">
        <v>44</v>
      </c>
      <c r="C38" s="22" t="str">
        <f>TEXT('🔢 Calc'!P4,"₹#,##0")</f>
        <v>₹111,748</v>
      </c>
      <c r="D38" s="22">
        <f>'🔢 Calc'!Q4</f>
        <v>60</v>
      </c>
      <c r="E38" s="22" t="str">
        <f>IFERROR(TEXT('🔢 Calc'!P4/(SUM('🔢 Calc'!P4:P6)),"0.0%"),"—")</f>
        <v>26.6%</v>
      </c>
      <c r="F38" s="22" t="s">
        <v>45</v>
      </c>
      <c r="G38" s="22" t="str">
        <f>TEXT('🔢 Calc'!T4,"₹#,##0")</f>
        <v>₹145,392</v>
      </c>
      <c r="H38" s="22">
        <f>'🔢 Calc'!U4</f>
        <v>171</v>
      </c>
      <c r="I38" s="22" t="str">
        <f>IFERROR(TEXT('🔢 Calc'!T4/(SUM('🔢 Calc'!T4:T6)),"0.0%"),"—")</f>
        <v>34.6%</v>
      </c>
    </row>
    <row r="39" spans="1:10" ht="16.5" customHeight="1" x14ac:dyDescent="0.35">
      <c r="B39" s="23" t="s">
        <v>46</v>
      </c>
      <c r="C39" s="23" t="str">
        <f>TEXT('🔢 Calc'!P5,"₹#,##0")</f>
        <v>₹165,620</v>
      </c>
      <c r="D39" s="23">
        <f>'🔢 Calc'!Q5</f>
        <v>71</v>
      </c>
      <c r="E39" s="23" t="str">
        <f>IFERROR(TEXT('🔢 Calc'!P5/(SUM('🔢 Calc'!P4:P6)),"0.0%"),"—")</f>
        <v>39.4%</v>
      </c>
      <c r="F39" s="23" t="s">
        <v>47</v>
      </c>
      <c r="G39" s="23" t="str">
        <f>TEXT('🔢 Calc'!T5,"₹#,##0")</f>
        <v>₹130,520</v>
      </c>
      <c r="H39" s="23">
        <f>'🔢 Calc'!U5</f>
        <v>195</v>
      </c>
      <c r="I39" s="23" t="str">
        <f>IFERROR(TEXT('🔢 Calc'!T5/(SUM('🔢 Calc'!T4:T6)),"0.0%"),"—")</f>
        <v>31.0%</v>
      </c>
    </row>
    <row r="40" spans="1:10" ht="16.5" customHeight="1" x14ac:dyDescent="0.35">
      <c r="B40" s="22" t="s">
        <v>48</v>
      </c>
      <c r="C40" s="22" t="str">
        <f>TEXT('🔢 Calc'!P6,"₹#,##0")</f>
        <v>₹143,364</v>
      </c>
      <c r="D40" s="22">
        <f>'🔢 Calc'!Q6</f>
        <v>69</v>
      </c>
      <c r="E40" s="22" t="str">
        <f>IFERROR(TEXT('🔢 Calc'!P6/(SUM('🔢 Calc'!P4:P6)),"0.0%"),"—")</f>
        <v>34.1%</v>
      </c>
      <c r="F40" s="22" t="s">
        <v>49</v>
      </c>
      <c r="G40" s="22" t="str">
        <f>TEXT('🔢 Calc'!T6,"₹#,##0")</f>
        <v>₹144,820</v>
      </c>
      <c r="H40" s="22">
        <f>'🔢 Calc'!U6</f>
        <v>222</v>
      </c>
      <c r="I40" s="22" t="str">
        <f>IFERROR(TEXT('🔢 Calc'!T6/(SUM('🔢 Calc'!T4:T6)),"0.0%"),"—")</f>
        <v>34.4%</v>
      </c>
    </row>
    <row r="42" spans="1:10" ht="19.5" customHeight="1" x14ac:dyDescent="0.35">
      <c r="B42" s="5" t="s">
        <v>50</v>
      </c>
      <c r="C42" s="5"/>
      <c r="D42" s="5"/>
      <c r="E42" s="5"/>
      <c r="F42" s="5"/>
      <c r="G42" s="5"/>
      <c r="H42" s="5"/>
      <c r="I42" s="5"/>
    </row>
  </sheetData>
  <mergeCells count="24">
    <mergeCell ref="B27:E27"/>
    <mergeCell ref="F27:I27"/>
    <mergeCell ref="B36:E36"/>
    <mergeCell ref="F36:I36"/>
    <mergeCell ref="B42:I42"/>
    <mergeCell ref="B9:C9"/>
    <mergeCell ref="D9:E9"/>
    <mergeCell ref="F9:G9"/>
    <mergeCell ref="H9:I9"/>
    <mergeCell ref="B11:I11"/>
    <mergeCell ref="B7:C7"/>
    <mergeCell ref="D7:E7"/>
    <mergeCell ref="F7:G7"/>
    <mergeCell ref="H7:I7"/>
    <mergeCell ref="B8:C8"/>
    <mergeCell ref="D8:E8"/>
    <mergeCell ref="F8:G8"/>
    <mergeCell ref="H8:I8"/>
    <mergeCell ref="B2:I2"/>
    <mergeCell ref="B3:I3"/>
    <mergeCell ref="B6:C6"/>
    <mergeCell ref="D6:E6"/>
    <mergeCell ref="F6:G6"/>
    <mergeCell ref="H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C3D8F"/>
  </sheetPr>
  <dimension ref="A1:N139"/>
  <sheetViews>
    <sheetView showGridLines="0" topLeftCell="E1" zoomScaleNormal="100" workbookViewId="0">
      <selection activeCell="S16" sqref="S16"/>
    </sheetView>
  </sheetViews>
  <sheetFormatPr defaultColWidth="8.6328125" defaultRowHeight="14.5" x14ac:dyDescent="0.35"/>
  <cols>
    <col min="1" max="13" width="9" customWidth="1"/>
    <col min="14" max="14" width="36.7265625" customWidth="1"/>
    <col min="15" max="19" width="9" customWidth="1"/>
  </cols>
  <sheetData>
    <row r="1" spans="1:14" ht="39.75" customHeight="1" x14ac:dyDescent="0.35">
      <c r="A1" s="4" t="s">
        <v>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" customHeight="1" x14ac:dyDescent="0.35"/>
    <row r="3" spans="1:14" ht="21.75" customHeight="1" x14ac:dyDescent="0.35">
      <c r="A3" s="3" t="s">
        <v>52</v>
      </c>
      <c r="B3" s="3"/>
      <c r="C3" s="3"/>
      <c r="D3" s="3"/>
      <c r="E3" s="3"/>
      <c r="F3" s="3"/>
      <c r="G3" s="3"/>
      <c r="H3" s="3" t="s">
        <v>53</v>
      </c>
      <c r="I3" s="3"/>
      <c r="J3" s="3"/>
      <c r="K3" s="3"/>
      <c r="L3" s="3"/>
      <c r="M3" s="3"/>
      <c r="N3" s="3"/>
    </row>
    <row r="4" spans="1:14" ht="15" customHeight="1" x14ac:dyDescent="0.35"/>
    <row r="5" spans="1:14" ht="15" customHeight="1" x14ac:dyDescent="0.35"/>
    <row r="6" spans="1:14" ht="15" customHeight="1" x14ac:dyDescent="0.35"/>
    <row r="7" spans="1:14" ht="15" customHeight="1" x14ac:dyDescent="0.35"/>
    <row r="8" spans="1:14" ht="15" customHeight="1" x14ac:dyDescent="0.35"/>
    <row r="9" spans="1:14" ht="15" customHeight="1" x14ac:dyDescent="0.35"/>
    <row r="10" spans="1:14" ht="15" customHeight="1" x14ac:dyDescent="0.35"/>
    <row r="11" spans="1:14" ht="15" customHeight="1" x14ac:dyDescent="0.35"/>
    <row r="12" spans="1:14" ht="15" customHeight="1" x14ac:dyDescent="0.35"/>
    <row r="13" spans="1:14" ht="15" customHeight="1" x14ac:dyDescent="0.35"/>
    <row r="14" spans="1:14" ht="15" customHeight="1" x14ac:dyDescent="0.35"/>
    <row r="15" spans="1:14" ht="15" customHeight="1" x14ac:dyDescent="0.35"/>
    <row r="16" spans="1:14" ht="15" customHeight="1" x14ac:dyDescent="0.35"/>
    <row r="17" spans="1:14" ht="15" customHeight="1" x14ac:dyDescent="0.35"/>
    <row r="18" spans="1:14" ht="15" customHeight="1" x14ac:dyDescent="0.35"/>
    <row r="19" spans="1:14" ht="15" customHeight="1" x14ac:dyDescent="0.35"/>
    <row r="20" spans="1:14" ht="15" customHeight="1" x14ac:dyDescent="0.35"/>
    <row r="21" spans="1:14" ht="21.75" customHeight="1" x14ac:dyDescent="0.35">
      <c r="A21" s="6" t="s">
        <v>54</v>
      </c>
      <c r="B21" s="6"/>
      <c r="C21" s="6"/>
      <c r="D21" s="6"/>
      <c r="E21" s="6"/>
      <c r="F21" s="6"/>
      <c r="G21" s="6"/>
      <c r="H21" s="6" t="s">
        <v>55</v>
      </c>
      <c r="I21" s="6"/>
      <c r="J21" s="6"/>
      <c r="K21" s="6"/>
      <c r="L21" s="6"/>
      <c r="M21" s="6"/>
      <c r="N21" s="6"/>
    </row>
    <row r="22" spans="1:14" ht="15" customHeight="1" x14ac:dyDescent="0.35"/>
    <row r="23" spans="1:14" ht="15" customHeight="1" x14ac:dyDescent="0.35"/>
    <row r="24" spans="1:14" ht="15" customHeight="1" x14ac:dyDescent="0.35"/>
    <row r="25" spans="1:14" ht="15" customHeight="1" x14ac:dyDescent="0.35"/>
    <row r="26" spans="1:14" ht="15" customHeight="1" x14ac:dyDescent="0.35"/>
    <row r="27" spans="1:14" ht="15" customHeight="1" x14ac:dyDescent="0.35"/>
    <row r="28" spans="1:14" ht="15" customHeight="1" x14ac:dyDescent="0.35"/>
    <row r="29" spans="1:14" ht="15" customHeight="1" x14ac:dyDescent="0.35"/>
    <row r="30" spans="1:14" ht="15" customHeight="1" x14ac:dyDescent="0.35"/>
    <row r="31" spans="1:14" ht="15" customHeight="1" x14ac:dyDescent="0.35"/>
    <row r="32" spans="1:14" ht="15" customHeight="1" x14ac:dyDescent="0.35"/>
    <row r="33" spans="1:14" ht="15" customHeight="1" x14ac:dyDescent="0.35"/>
    <row r="34" spans="1:14" ht="15" customHeight="1" x14ac:dyDescent="0.35"/>
    <row r="35" spans="1:14" ht="15" customHeight="1" x14ac:dyDescent="0.35"/>
    <row r="36" spans="1:14" ht="15" customHeight="1" x14ac:dyDescent="0.35"/>
    <row r="37" spans="1:14" ht="15" customHeight="1" x14ac:dyDescent="0.35"/>
    <row r="38" spans="1:14" ht="15" customHeight="1" x14ac:dyDescent="0.35"/>
    <row r="39" spans="1:14" ht="21.75" customHeight="1" x14ac:dyDescent="0.35">
      <c r="A39" s="2" t="s">
        <v>56</v>
      </c>
      <c r="B39" s="2"/>
      <c r="C39" s="2"/>
      <c r="D39" s="2"/>
      <c r="E39" s="2"/>
      <c r="F39" s="2"/>
      <c r="G39" s="2"/>
      <c r="H39" s="2" t="s">
        <v>57</v>
      </c>
      <c r="I39" s="2"/>
      <c r="J39" s="2"/>
      <c r="K39" s="2"/>
      <c r="L39" s="2"/>
      <c r="M39" s="2"/>
      <c r="N39" s="2"/>
    </row>
    <row r="40" spans="1:14" ht="15" customHeight="1" x14ac:dyDescent="0.35"/>
    <row r="41" spans="1:14" ht="15" customHeight="1" x14ac:dyDescent="0.35"/>
    <row r="42" spans="1:14" ht="15" customHeight="1" x14ac:dyDescent="0.35"/>
    <row r="43" spans="1:14" ht="15" customHeight="1" x14ac:dyDescent="0.35"/>
    <row r="44" spans="1:14" ht="15" customHeight="1" x14ac:dyDescent="0.35"/>
    <row r="45" spans="1:14" ht="15" customHeight="1" x14ac:dyDescent="0.35"/>
    <row r="46" spans="1:14" ht="15" customHeight="1" x14ac:dyDescent="0.35"/>
    <row r="47" spans="1:14" ht="15" customHeight="1" x14ac:dyDescent="0.35"/>
    <row r="48" spans="1:14" ht="15" customHeight="1" x14ac:dyDescent="0.35"/>
    <row r="49" spans="1:14" ht="15" customHeight="1" x14ac:dyDescent="0.35"/>
    <row r="50" spans="1:14" ht="15" customHeight="1" x14ac:dyDescent="0.35"/>
    <row r="51" spans="1:14" ht="15" customHeight="1" x14ac:dyDescent="0.35"/>
    <row r="52" spans="1:14" ht="15" customHeight="1" x14ac:dyDescent="0.35"/>
    <row r="53" spans="1:14" ht="15" customHeight="1" x14ac:dyDescent="0.35"/>
    <row r="54" spans="1:14" ht="15" customHeight="1" x14ac:dyDescent="0.35"/>
    <row r="55" spans="1:14" ht="15" customHeight="1" x14ac:dyDescent="0.35"/>
    <row r="56" spans="1:14" ht="15" customHeight="1" x14ac:dyDescent="0.35"/>
    <row r="57" spans="1:14" ht="21.75" customHeight="1" x14ac:dyDescent="0.35">
      <c r="A57" s="1" t="s">
        <v>58</v>
      </c>
      <c r="B57" s="1"/>
      <c r="C57" s="1"/>
      <c r="D57" s="1"/>
      <c r="E57" s="1"/>
      <c r="F57" s="1"/>
      <c r="G57" s="1"/>
      <c r="H57" s="1" t="s">
        <v>59</v>
      </c>
      <c r="I57" s="1"/>
      <c r="J57" s="1"/>
      <c r="K57" s="1"/>
      <c r="L57" s="1"/>
      <c r="M57" s="1"/>
      <c r="N57" s="1"/>
    </row>
    <row r="58" spans="1:14" ht="15" customHeight="1" x14ac:dyDescent="0.35"/>
    <row r="59" spans="1:14" ht="15" customHeight="1" x14ac:dyDescent="0.35"/>
    <row r="60" spans="1:14" ht="15" customHeight="1" x14ac:dyDescent="0.35"/>
    <row r="61" spans="1:14" ht="15" customHeight="1" x14ac:dyDescent="0.35"/>
    <row r="62" spans="1:14" ht="15" customHeight="1" x14ac:dyDescent="0.35"/>
    <row r="63" spans="1:14" ht="15" customHeight="1" x14ac:dyDescent="0.35"/>
    <row r="64" spans="1:14" ht="15" customHeight="1" x14ac:dyDescent="0.35"/>
    <row r="65" spans="1:14" ht="15" customHeight="1" x14ac:dyDescent="0.35"/>
    <row r="66" spans="1:14" ht="15" customHeight="1" x14ac:dyDescent="0.35"/>
    <row r="67" spans="1:14" ht="15" customHeight="1" x14ac:dyDescent="0.35"/>
    <row r="68" spans="1:14" ht="15" customHeight="1" x14ac:dyDescent="0.35"/>
    <row r="69" spans="1:14" ht="15" customHeight="1" x14ac:dyDescent="0.35"/>
    <row r="70" spans="1:14" ht="15" customHeight="1" x14ac:dyDescent="0.35"/>
    <row r="71" spans="1:14" ht="15" customHeight="1" x14ac:dyDescent="0.35"/>
    <row r="72" spans="1:14" ht="15" customHeight="1" x14ac:dyDescent="0.35"/>
    <row r="73" spans="1:14" ht="15" customHeight="1" x14ac:dyDescent="0.35"/>
    <row r="74" spans="1:14" ht="15" customHeight="1" x14ac:dyDescent="0.35"/>
    <row r="75" spans="1:14" ht="15" customHeight="1" x14ac:dyDescent="0.35"/>
    <row r="76" spans="1:14" ht="19.5" customHeight="1" x14ac:dyDescent="0.35">
      <c r="A76" s="5" t="s">
        <v>60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5" customHeight="1" x14ac:dyDescent="0.35"/>
    <row r="78" spans="1:14" ht="15" customHeight="1" x14ac:dyDescent="0.35"/>
    <row r="79" spans="1:14" ht="15" customHeight="1" x14ac:dyDescent="0.35"/>
    <row r="80" spans="1:14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</sheetData>
  <mergeCells count="10">
    <mergeCell ref="A39:G39"/>
    <mergeCell ref="H39:N39"/>
    <mergeCell ref="A57:G57"/>
    <mergeCell ref="H57:N57"/>
    <mergeCell ref="A76:N76"/>
    <mergeCell ref="A1:N1"/>
    <mergeCell ref="A3:G3"/>
    <mergeCell ref="H3:N3"/>
    <mergeCell ref="A21:G21"/>
    <mergeCell ref="H21:N2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07D8B"/>
  </sheetPr>
  <dimension ref="A1:I203"/>
  <sheetViews>
    <sheetView tabSelected="1" zoomScaleNormal="100" workbookViewId="0">
      <pane ySplit="1" topLeftCell="A97" activePane="bottomLeft" state="frozen"/>
      <selection pane="bottomLeft" activeCell="O123" sqref="O123"/>
    </sheetView>
  </sheetViews>
  <sheetFormatPr defaultColWidth="8.6328125" defaultRowHeight="14.5" x14ac:dyDescent="0.35"/>
  <cols>
    <col min="1" max="1" width="11" customWidth="1"/>
    <col min="2" max="2" width="13" customWidth="1"/>
    <col min="3" max="3" width="16" customWidth="1"/>
    <col min="4" max="5" width="10" customWidth="1"/>
    <col min="6" max="6" width="14" customWidth="1"/>
    <col min="7" max="7" width="16" customWidth="1"/>
    <col min="8" max="8" width="18" customWidth="1"/>
    <col min="9" max="9" width="20" customWidth="1"/>
  </cols>
  <sheetData>
    <row r="1" spans="1:9" ht="24" customHeight="1" x14ac:dyDescent="0.35">
      <c r="A1" s="27" t="s">
        <v>61</v>
      </c>
      <c r="B1" s="27" t="s">
        <v>62</v>
      </c>
      <c r="C1" s="27" t="s">
        <v>63</v>
      </c>
      <c r="D1" s="27" t="s">
        <v>43</v>
      </c>
      <c r="E1" s="27" t="s">
        <v>64</v>
      </c>
      <c r="F1" s="27" t="s">
        <v>65</v>
      </c>
      <c r="G1" s="27" t="s">
        <v>66</v>
      </c>
      <c r="H1" s="27" t="s">
        <v>67</v>
      </c>
      <c r="I1" s="27" t="s">
        <v>68</v>
      </c>
    </row>
    <row r="2" spans="1:9" ht="15" customHeight="1" x14ac:dyDescent="0.35">
      <c r="A2" s="22" t="s">
        <v>69</v>
      </c>
      <c r="B2" s="22" t="s">
        <v>70</v>
      </c>
      <c r="C2" s="22" t="s">
        <v>71</v>
      </c>
      <c r="D2" s="22" t="s">
        <v>47</v>
      </c>
      <c r="E2" s="22">
        <v>2</v>
      </c>
      <c r="F2" s="22" t="s">
        <v>36</v>
      </c>
      <c r="G2" s="22" t="s">
        <v>48</v>
      </c>
      <c r="H2" s="22">
        <v>936</v>
      </c>
      <c r="I2" s="22">
        <v>1872</v>
      </c>
    </row>
    <row r="3" spans="1:9" ht="15" customHeight="1" x14ac:dyDescent="0.35">
      <c r="A3" s="23" t="s">
        <v>72</v>
      </c>
      <c r="B3" s="23" t="s">
        <v>73</v>
      </c>
      <c r="C3" s="23" t="s">
        <v>74</v>
      </c>
      <c r="D3" s="23" t="s">
        <v>45</v>
      </c>
      <c r="E3" s="23">
        <v>2</v>
      </c>
      <c r="F3" s="23" t="s">
        <v>36</v>
      </c>
      <c r="G3" s="23" t="s">
        <v>48</v>
      </c>
      <c r="H3" s="23">
        <v>624</v>
      </c>
      <c r="I3" s="23">
        <v>1248</v>
      </c>
    </row>
    <row r="4" spans="1:9" ht="15" customHeight="1" x14ac:dyDescent="0.35">
      <c r="A4" s="22" t="s">
        <v>75</v>
      </c>
      <c r="B4" s="22" t="s">
        <v>76</v>
      </c>
      <c r="C4" s="22" t="s">
        <v>74</v>
      </c>
      <c r="D4" s="22" t="s">
        <v>45</v>
      </c>
      <c r="E4" s="22">
        <v>3</v>
      </c>
      <c r="F4" s="22" t="s">
        <v>34</v>
      </c>
      <c r="G4" s="22" t="s">
        <v>46</v>
      </c>
      <c r="H4" s="22">
        <v>624</v>
      </c>
      <c r="I4" s="22">
        <v>1872</v>
      </c>
    </row>
    <row r="5" spans="1:9" ht="15" customHeight="1" x14ac:dyDescent="0.35">
      <c r="A5" s="23" t="s">
        <v>77</v>
      </c>
      <c r="B5" s="23" t="s">
        <v>78</v>
      </c>
      <c r="C5" s="23" t="s">
        <v>71</v>
      </c>
      <c r="D5" s="23" t="s">
        <v>47</v>
      </c>
      <c r="E5" s="23">
        <v>2</v>
      </c>
      <c r="F5" s="23" t="s">
        <v>32</v>
      </c>
      <c r="G5" s="23" t="s">
        <v>48</v>
      </c>
      <c r="H5" s="23">
        <v>936</v>
      </c>
      <c r="I5" s="23">
        <v>1872</v>
      </c>
    </row>
    <row r="6" spans="1:9" ht="15" customHeight="1" x14ac:dyDescent="0.35">
      <c r="A6" s="22" t="s">
        <v>79</v>
      </c>
      <c r="B6" s="22" t="s">
        <v>80</v>
      </c>
      <c r="C6" s="22" t="s">
        <v>71</v>
      </c>
      <c r="D6" s="22" t="s">
        <v>47</v>
      </c>
      <c r="E6" s="22">
        <v>1</v>
      </c>
      <c r="F6" s="22" t="s">
        <v>34</v>
      </c>
      <c r="G6" s="22" t="s">
        <v>46</v>
      </c>
      <c r="H6" s="22">
        <v>936</v>
      </c>
      <c r="I6" s="22">
        <v>936</v>
      </c>
    </row>
    <row r="7" spans="1:9" ht="15" customHeight="1" x14ac:dyDescent="0.35">
      <c r="A7" s="23" t="s">
        <v>81</v>
      </c>
      <c r="B7" s="23" t="s">
        <v>76</v>
      </c>
      <c r="C7" s="23" t="s">
        <v>82</v>
      </c>
      <c r="D7" s="23" t="s">
        <v>47</v>
      </c>
      <c r="E7" s="23">
        <v>1</v>
      </c>
      <c r="F7" s="23" t="s">
        <v>34</v>
      </c>
      <c r="G7" s="23" t="s">
        <v>46</v>
      </c>
      <c r="H7" s="23">
        <v>416</v>
      </c>
      <c r="I7" s="23">
        <v>416</v>
      </c>
    </row>
    <row r="8" spans="1:9" ht="15" customHeight="1" x14ac:dyDescent="0.35">
      <c r="A8" s="22" t="s">
        <v>83</v>
      </c>
      <c r="B8" s="22" t="s">
        <v>73</v>
      </c>
      <c r="C8" s="22" t="s">
        <v>71</v>
      </c>
      <c r="D8" s="22" t="s">
        <v>47</v>
      </c>
      <c r="E8" s="22">
        <v>5</v>
      </c>
      <c r="F8" s="22" t="s">
        <v>34</v>
      </c>
      <c r="G8" s="22" t="s">
        <v>46</v>
      </c>
      <c r="H8" s="22">
        <v>936</v>
      </c>
      <c r="I8" s="22">
        <v>4680</v>
      </c>
    </row>
    <row r="9" spans="1:9" ht="15" customHeight="1" x14ac:dyDescent="0.35">
      <c r="A9" s="23" t="s">
        <v>84</v>
      </c>
      <c r="B9" s="23" t="s">
        <v>85</v>
      </c>
      <c r="C9" s="23" t="s">
        <v>86</v>
      </c>
      <c r="D9" s="23" t="s">
        <v>49</v>
      </c>
      <c r="E9" s="23">
        <v>5</v>
      </c>
      <c r="F9" s="23" t="s">
        <v>34</v>
      </c>
      <c r="G9" s="23" t="s">
        <v>48</v>
      </c>
      <c r="H9" s="23">
        <v>780</v>
      </c>
      <c r="I9" s="23">
        <v>3900</v>
      </c>
    </row>
    <row r="10" spans="1:9" ht="15" customHeight="1" x14ac:dyDescent="0.35">
      <c r="A10" s="22" t="s">
        <v>87</v>
      </c>
      <c r="B10" s="22" t="s">
        <v>88</v>
      </c>
      <c r="C10" s="22" t="s">
        <v>89</v>
      </c>
      <c r="D10" s="22" t="s">
        <v>49</v>
      </c>
      <c r="E10" s="22">
        <v>3</v>
      </c>
      <c r="F10" s="22" t="s">
        <v>34</v>
      </c>
      <c r="G10" s="22" t="s">
        <v>46</v>
      </c>
      <c r="H10" s="22">
        <v>520</v>
      </c>
      <c r="I10" s="22">
        <v>1560</v>
      </c>
    </row>
    <row r="11" spans="1:9" ht="15" customHeight="1" x14ac:dyDescent="0.35">
      <c r="A11" s="23" t="s">
        <v>90</v>
      </c>
      <c r="B11" s="23" t="s">
        <v>91</v>
      </c>
      <c r="C11" s="23" t="s">
        <v>71</v>
      </c>
      <c r="D11" s="23" t="s">
        <v>47</v>
      </c>
      <c r="E11" s="23">
        <v>2</v>
      </c>
      <c r="F11" s="23" t="s">
        <v>34</v>
      </c>
      <c r="G11" s="23" t="s">
        <v>48</v>
      </c>
      <c r="H11" s="23">
        <v>936</v>
      </c>
      <c r="I11" s="23">
        <v>1872</v>
      </c>
    </row>
    <row r="12" spans="1:9" ht="15" customHeight="1" x14ac:dyDescent="0.35">
      <c r="A12" s="22" t="s">
        <v>92</v>
      </c>
      <c r="B12" s="22" t="s">
        <v>93</v>
      </c>
      <c r="C12" s="22" t="s">
        <v>94</v>
      </c>
      <c r="D12" s="22" t="s">
        <v>45</v>
      </c>
      <c r="E12" s="22">
        <v>2</v>
      </c>
      <c r="F12" s="22" t="s">
        <v>34</v>
      </c>
      <c r="G12" s="22" t="s">
        <v>44</v>
      </c>
      <c r="H12" s="22">
        <v>1040</v>
      </c>
      <c r="I12" s="22">
        <v>2080</v>
      </c>
    </row>
    <row r="13" spans="1:9" ht="15" customHeight="1" x14ac:dyDescent="0.35">
      <c r="A13" s="23" t="s">
        <v>95</v>
      </c>
      <c r="B13" s="23" t="s">
        <v>73</v>
      </c>
      <c r="C13" s="23" t="s">
        <v>94</v>
      </c>
      <c r="D13" s="23" t="s">
        <v>45</v>
      </c>
      <c r="E13" s="23">
        <v>4</v>
      </c>
      <c r="F13" s="23" t="s">
        <v>32</v>
      </c>
      <c r="G13" s="23" t="s">
        <v>46</v>
      </c>
      <c r="H13" s="23">
        <v>1040</v>
      </c>
      <c r="I13" s="23">
        <v>4160</v>
      </c>
    </row>
    <row r="14" spans="1:9" ht="15" customHeight="1" x14ac:dyDescent="0.35">
      <c r="A14" s="22" t="s">
        <v>96</v>
      </c>
      <c r="B14" s="22" t="s">
        <v>97</v>
      </c>
      <c r="C14" s="22" t="s">
        <v>71</v>
      </c>
      <c r="D14" s="22" t="s">
        <v>47</v>
      </c>
      <c r="E14" s="22">
        <v>1</v>
      </c>
      <c r="F14" s="22" t="s">
        <v>36</v>
      </c>
      <c r="G14" s="22" t="s">
        <v>44</v>
      </c>
      <c r="H14" s="22">
        <v>936</v>
      </c>
      <c r="I14" s="22">
        <v>936</v>
      </c>
    </row>
    <row r="15" spans="1:9" ht="15" customHeight="1" x14ac:dyDescent="0.35">
      <c r="A15" s="23" t="s">
        <v>98</v>
      </c>
      <c r="B15" s="23" t="s">
        <v>99</v>
      </c>
      <c r="C15" s="23" t="s">
        <v>86</v>
      </c>
      <c r="D15" s="23" t="s">
        <v>49</v>
      </c>
      <c r="E15" s="23">
        <v>4</v>
      </c>
      <c r="F15" s="23" t="s">
        <v>34</v>
      </c>
      <c r="G15" s="23" t="s">
        <v>46</v>
      </c>
      <c r="H15" s="23">
        <v>780</v>
      </c>
      <c r="I15" s="23">
        <v>3120</v>
      </c>
    </row>
    <row r="16" spans="1:9" ht="15" customHeight="1" x14ac:dyDescent="0.35">
      <c r="A16" s="22" t="s">
        <v>100</v>
      </c>
      <c r="B16" s="22" t="s">
        <v>101</v>
      </c>
      <c r="C16" s="22" t="s">
        <v>71</v>
      </c>
      <c r="D16" s="22" t="s">
        <v>47</v>
      </c>
      <c r="E16" s="22">
        <v>1</v>
      </c>
      <c r="F16" s="22" t="s">
        <v>32</v>
      </c>
      <c r="G16" s="22" t="s">
        <v>44</v>
      </c>
      <c r="H16" s="22">
        <v>936</v>
      </c>
      <c r="I16" s="22">
        <v>936</v>
      </c>
    </row>
    <row r="17" spans="1:9" ht="15" customHeight="1" x14ac:dyDescent="0.35">
      <c r="A17" s="23" t="s">
        <v>102</v>
      </c>
      <c r="B17" s="23" t="s">
        <v>103</v>
      </c>
      <c r="C17" s="23" t="s">
        <v>74</v>
      </c>
      <c r="D17" s="23" t="s">
        <v>45</v>
      </c>
      <c r="E17" s="23">
        <v>2</v>
      </c>
      <c r="F17" s="23" t="s">
        <v>36</v>
      </c>
      <c r="G17" s="23" t="s">
        <v>44</v>
      </c>
      <c r="H17" s="23">
        <v>624</v>
      </c>
      <c r="I17" s="23">
        <v>1248</v>
      </c>
    </row>
    <row r="18" spans="1:9" ht="15" customHeight="1" x14ac:dyDescent="0.35">
      <c r="A18" s="22" t="s">
        <v>104</v>
      </c>
      <c r="B18" s="22" t="s">
        <v>105</v>
      </c>
      <c r="C18" s="22" t="s">
        <v>71</v>
      </c>
      <c r="D18" s="22" t="s">
        <v>47</v>
      </c>
      <c r="E18" s="22">
        <v>3</v>
      </c>
      <c r="F18" s="22" t="s">
        <v>36</v>
      </c>
      <c r="G18" s="22" t="s">
        <v>48</v>
      </c>
      <c r="H18" s="22">
        <v>936</v>
      </c>
      <c r="I18" s="22">
        <v>2808</v>
      </c>
    </row>
    <row r="19" spans="1:9" ht="15" customHeight="1" x14ac:dyDescent="0.35">
      <c r="A19" s="23" t="s">
        <v>106</v>
      </c>
      <c r="B19" s="23" t="s">
        <v>107</v>
      </c>
      <c r="C19" s="23" t="s">
        <v>71</v>
      </c>
      <c r="D19" s="23" t="s">
        <v>47</v>
      </c>
      <c r="E19" s="23">
        <v>2</v>
      </c>
      <c r="F19" s="23" t="s">
        <v>34</v>
      </c>
      <c r="G19" s="23" t="s">
        <v>44</v>
      </c>
      <c r="H19" s="23">
        <v>936</v>
      </c>
      <c r="I19" s="23">
        <v>1872</v>
      </c>
    </row>
    <row r="20" spans="1:9" ht="15" customHeight="1" x14ac:dyDescent="0.35">
      <c r="A20" s="22" t="s">
        <v>108</v>
      </c>
      <c r="B20" s="22" t="s">
        <v>109</v>
      </c>
      <c r="C20" s="22" t="s">
        <v>89</v>
      </c>
      <c r="D20" s="22" t="s">
        <v>49</v>
      </c>
      <c r="E20" s="22">
        <v>3</v>
      </c>
      <c r="F20" s="22" t="s">
        <v>32</v>
      </c>
      <c r="G20" s="22" t="s">
        <v>48</v>
      </c>
      <c r="H20" s="22">
        <v>520</v>
      </c>
      <c r="I20" s="22">
        <v>1560</v>
      </c>
    </row>
    <row r="21" spans="1:9" ht="15" customHeight="1" x14ac:dyDescent="0.35">
      <c r="A21" s="23" t="s">
        <v>110</v>
      </c>
      <c r="B21" s="23" t="s">
        <v>111</v>
      </c>
      <c r="C21" s="23" t="s">
        <v>89</v>
      </c>
      <c r="D21" s="23" t="s">
        <v>49</v>
      </c>
      <c r="E21" s="23">
        <v>1</v>
      </c>
      <c r="F21" s="23" t="s">
        <v>36</v>
      </c>
      <c r="G21" s="23" t="s">
        <v>44</v>
      </c>
      <c r="H21" s="23">
        <v>520</v>
      </c>
      <c r="I21" s="23">
        <v>520</v>
      </c>
    </row>
    <row r="22" spans="1:9" ht="15" customHeight="1" x14ac:dyDescent="0.35">
      <c r="A22" s="22" t="s">
        <v>112</v>
      </c>
      <c r="B22" s="22" t="s">
        <v>97</v>
      </c>
      <c r="C22" s="22" t="s">
        <v>86</v>
      </c>
      <c r="D22" s="22" t="s">
        <v>49</v>
      </c>
      <c r="E22" s="22">
        <v>4</v>
      </c>
      <c r="F22" s="22" t="s">
        <v>34</v>
      </c>
      <c r="G22" s="22" t="s">
        <v>46</v>
      </c>
      <c r="H22" s="22">
        <v>780</v>
      </c>
      <c r="I22" s="22">
        <v>3120</v>
      </c>
    </row>
    <row r="23" spans="1:9" ht="15" customHeight="1" x14ac:dyDescent="0.35">
      <c r="A23" s="23" t="s">
        <v>113</v>
      </c>
      <c r="B23" s="23" t="s">
        <v>114</v>
      </c>
      <c r="C23" s="23" t="s">
        <v>94</v>
      </c>
      <c r="D23" s="23" t="s">
        <v>45</v>
      </c>
      <c r="E23" s="23">
        <v>5</v>
      </c>
      <c r="F23" s="23" t="s">
        <v>32</v>
      </c>
      <c r="G23" s="23" t="s">
        <v>44</v>
      </c>
      <c r="H23" s="23">
        <v>1040</v>
      </c>
      <c r="I23" s="23">
        <v>5200</v>
      </c>
    </row>
    <row r="24" spans="1:9" ht="15" customHeight="1" x14ac:dyDescent="0.35">
      <c r="A24" s="22" t="s">
        <v>115</v>
      </c>
      <c r="B24" s="22" t="s">
        <v>105</v>
      </c>
      <c r="C24" s="22" t="s">
        <v>74</v>
      </c>
      <c r="D24" s="22" t="s">
        <v>45</v>
      </c>
      <c r="E24" s="22">
        <v>4</v>
      </c>
      <c r="F24" s="22" t="s">
        <v>32</v>
      </c>
      <c r="G24" s="22" t="s">
        <v>44</v>
      </c>
      <c r="H24" s="22">
        <v>624</v>
      </c>
      <c r="I24" s="22">
        <v>2496</v>
      </c>
    </row>
    <row r="25" spans="1:9" ht="15" customHeight="1" x14ac:dyDescent="0.35">
      <c r="A25" s="23" t="s">
        <v>116</v>
      </c>
      <c r="B25" s="23" t="s">
        <v>117</v>
      </c>
      <c r="C25" s="23" t="s">
        <v>82</v>
      </c>
      <c r="D25" s="23" t="s">
        <v>47</v>
      </c>
      <c r="E25" s="23">
        <v>4</v>
      </c>
      <c r="F25" s="23" t="s">
        <v>32</v>
      </c>
      <c r="G25" s="23" t="s">
        <v>48</v>
      </c>
      <c r="H25" s="23">
        <v>416</v>
      </c>
      <c r="I25" s="23">
        <v>1664</v>
      </c>
    </row>
    <row r="26" spans="1:9" ht="15" customHeight="1" x14ac:dyDescent="0.35">
      <c r="A26" s="22" t="s">
        <v>118</v>
      </c>
      <c r="B26" s="22" t="s">
        <v>119</v>
      </c>
      <c r="C26" s="22" t="s">
        <v>89</v>
      </c>
      <c r="D26" s="22" t="s">
        <v>49</v>
      </c>
      <c r="E26" s="22">
        <v>2</v>
      </c>
      <c r="F26" s="22" t="s">
        <v>36</v>
      </c>
      <c r="G26" s="22" t="s">
        <v>48</v>
      </c>
      <c r="H26" s="22">
        <v>520</v>
      </c>
      <c r="I26" s="22">
        <v>1040</v>
      </c>
    </row>
    <row r="27" spans="1:9" ht="15" customHeight="1" x14ac:dyDescent="0.35">
      <c r="A27" s="23" t="s">
        <v>120</v>
      </c>
      <c r="B27" s="23" t="s">
        <v>121</v>
      </c>
      <c r="C27" s="23" t="s">
        <v>86</v>
      </c>
      <c r="D27" s="23" t="s">
        <v>49</v>
      </c>
      <c r="E27" s="23">
        <v>2</v>
      </c>
      <c r="F27" s="23" t="s">
        <v>32</v>
      </c>
      <c r="G27" s="23" t="s">
        <v>44</v>
      </c>
      <c r="H27" s="23">
        <v>780</v>
      </c>
      <c r="I27" s="23">
        <v>1560</v>
      </c>
    </row>
    <row r="28" spans="1:9" ht="15" customHeight="1" x14ac:dyDescent="0.35">
      <c r="A28" s="22" t="s">
        <v>122</v>
      </c>
      <c r="B28" s="22" t="s">
        <v>123</v>
      </c>
      <c r="C28" s="22" t="s">
        <v>89</v>
      </c>
      <c r="D28" s="22" t="s">
        <v>49</v>
      </c>
      <c r="E28" s="22">
        <v>5</v>
      </c>
      <c r="F28" s="22" t="s">
        <v>34</v>
      </c>
      <c r="G28" s="22" t="s">
        <v>48</v>
      </c>
      <c r="H28" s="22">
        <v>520</v>
      </c>
      <c r="I28" s="22">
        <v>2600</v>
      </c>
    </row>
    <row r="29" spans="1:9" ht="15" customHeight="1" x14ac:dyDescent="0.35">
      <c r="A29" s="23" t="s">
        <v>124</v>
      </c>
      <c r="B29" s="23" t="s">
        <v>125</v>
      </c>
      <c r="C29" s="23" t="s">
        <v>82</v>
      </c>
      <c r="D29" s="23" t="s">
        <v>47</v>
      </c>
      <c r="E29" s="23">
        <v>3</v>
      </c>
      <c r="F29" s="23" t="s">
        <v>34</v>
      </c>
      <c r="G29" s="23" t="s">
        <v>48</v>
      </c>
      <c r="H29" s="23">
        <v>416</v>
      </c>
      <c r="I29" s="23">
        <v>1248</v>
      </c>
    </row>
    <row r="30" spans="1:9" ht="15" customHeight="1" x14ac:dyDescent="0.35">
      <c r="A30" s="22" t="s">
        <v>126</v>
      </c>
      <c r="B30" s="22" t="s">
        <v>127</v>
      </c>
      <c r="C30" s="22" t="s">
        <v>89</v>
      </c>
      <c r="D30" s="22" t="s">
        <v>49</v>
      </c>
      <c r="E30" s="22">
        <v>5</v>
      </c>
      <c r="F30" s="22" t="s">
        <v>32</v>
      </c>
      <c r="G30" s="22" t="s">
        <v>44</v>
      </c>
      <c r="H30" s="22">
        <v>520</v>
      </c>
      <c r="I30" s="22">
        <v>2600</v>
      </c>
    </row>
    <row r="31" spans="1:9" ht="15" customHeight="1" x14ac:dyDescent="0.35">
      <c r="A31" s="23" t="s">
        <v>128</v>
      </c>
      <c r="B31" s="23" t="s">
        <v>129</v>
      </c>
      <c r="C31" s="23" t="s">
        <v>94</v>
      </c>
      <c r="D31" s="23" t="s">
        <v>45</v>
      </c>
      <c r="E31" s="23">
        <v>4</v>
      </c>
      <c r="F31" s="23" t="s">
        <v>32</v>
      </c>
      <c r="G31" s="23" t="s">
        <v>46</v>
      </c>
      <c r="H31" s="23">
        <v>1040</v>
      </c>
      <c r="I31" s="23">
        <v>4160</v>
      </c>
    </row>
    <row r="32" spans="1:9" ht="15" customHeight="1" x14ac:dyDescent="0.35">
      <c r="A32" s="22" t="s">
        <v>130</v>
      </c>
      <c r="B32" s="22" t="s">
        <v>131</v>
      </c>
      <c r="C32" s="22" t="s">
        <v>86</v>
      </c>
      <c r="D32" s="22" t="s">
        <v>49</v>
      </c>
      <c r="E32" s="22">
        <v>3</v>
      </c>
      <c r="F32" s="22" t="s">
        <v>36</v>
      </c>
      <c r="G32" s="22" t="s">
        <v>48</v>
      </c>
      <c r="H32" s="22">
        <v>780</v>
      </c>
      <c r="I32" s="22">
        <v>2340</v>
      </c>
    </row>
    <row r="33" spans="1:9" ht="15" customHeight="1" x14ac:dyDescent="0.35">
      <c r="A33" s="23" t="s">
        <v>132</v>
      </c>
      <c r="B33" s="23" t="s">
        <v>133</v>
      </c>
      <c r="C33" s="23" t="s">
        <v>71</v>
      </c>
      <c r="D33" s="23" t="s">
        <v>47</v>
      </c>
      <c r="E33" s="23">
        <v>4</v>
      </c>
      <c r="F33" s="23" t="s">
        <v>32</v>
      </c>
      <c r="G33" s="23" t="s">
        <v>48</v>
      </c>
      <c r="H33" s="23">
        <v>936</v>
      </c>
      <c r="I33" s="23">
        <v>3744</v>
      </c>
    </row>
    <row r="34" spans="1:9" ht="15" customHeight="1" x14ac:dyDescent="0.35">
      <c r="A34" s="22" t="s">
        <v>134</v>
      </c>
      <c r="B34" s="22" t="s">
        <v>135</v>
      </c>
      <c r="C34" s="22" t="s">
        <v>82</v>
      </c>
      <c r="D34" s="22" t="s">
        <v>47</v>
      </c>
      <c r="E34" s="22">
        <v>5</v>
      </c>
      <c r="F34" s="22" t="s">
        <v>34</v>
      </c>
      <c r="G34" s="22" t="s">
        <v>48</v>
      </c>
      <c r="H34" s="22">
        <v>416</v>
      </c>
      <c r="I34" s="22">
        <v>2080</v>
      </c>
    </row>
    <row r="35" spans="1:9" ht="15" customHeight="1" x14ac:dyDescent="0.35">
      <c r="A35" s="23" t="s">
        <v>136</v>
      </c>
      <c r="B35" s="23" t="s">
        <v>137</v>
      </c>
      <c r="C35" s="23" t="s">
        <v>94</v>
      </c>
      <c r="D35" s="23" t="s">
        <v>45</v>
      </c>
      <c r="E35" s="23">
        <v>5</v>
      </c>
      <c r="F35" s="23" t="s">
        <v>32</v>
      </c>
      <c r="G35" s="23" t="s">
        <v>46</v>
      </c>
      <c r="H35" s="23">
        <v>1040</v>
      </c>
      <c r="I35" s="23">
        <v>5200</v>
      </c>
    </row>
    <row r="36" spans="1:9" ht="15" customHeight="1" x14ac:dyDescent="0.35">
      <c r="A36" s="22" t="s">
        <v>138</v>
      </c>
      <c r="B36" s="22" t="s">
        <v>139</v>
      </c>
      <c r="C36" s="22" t="s">
        <v>86</v>
      </c>
      <c r="D36" s="22" t="s">
        <v>49</v>
      </c>
      <c r="E36" s="22">
        <v>2</v>
      </c>
      <c r="F36" s="22" t="s">
        <v>34</v>
      </c>
      <c r="G36" s="22" t="s">
        <v>44</v>
      </c>
      <c r="H36" s="22">
        <v>780</v>
      </c>
      <c r="I36" s="22">
        <v>1560</v>
      </c>
    </row>
    <row r="37" spans="1:9" ht="15" customHeight="1" x14ac:dyDescent="0.35">
      <c r="A37" s="23" t="s">
        <v>140</v>
      </c>
      <c r="B37" s="23" t="s">
        <v>141</v>
      </c>
      <c r="C37" s="23" t="s">
        <v>86</v>
      </c>
      <c r="D37" s="23" t="s">
        <v>49</v>
      </c>
      <c r="E37" s="23">
        <v>1</v>
      </c>
      <c r="F37" s="23" t="s">
        <v>36</v>
      </c>
      <c r="G37" s="23" t="s">
        <v>44</v>
      </c>
      <c r="H37" s="23">
        <v>780</v>
      </c>
      <c r="I37" s="23">
        <v>780</v>
      </c>
    </row>
    <row r="38" spans="1:9" ht="15" customHeight="1" x14ac:dyDescent="0.35">
      <c r="A38" s="22" t="s">
        <v>142</v>
      </c>
      <c r="B38" s="22" t="s">
        <v>101</v>
      </c>
      <c r="C38" s="22" t="s">
        <v>86</v>
      </c>
      <c r="D38" s="22" t="s">
        <v>49</v>
      </c>
      <c r="E38" s="22">
        <v>4</v>
      </c>
      <c r="F38" s="22" t="s">
        <v>34</v>
      </c>
      <c r="G38" s="22" t="s">
        <v>44</v>
      </c>
      <c r="H38" s="22">
        <v>780</v>
      </c>
      <c r="I38" s="22">
        <v>3120</v>
      </c>
    </row>
    <row r="39" spans="1:9" ht="15" customHeight="1" x14ac:dyDescent="0.35">
      <c r="A39" s="23" t="s">
        <v>143</v>
      </c>
      <c r="B39" s="23" t="s">
        <v>144</v>
      </c>
      <c r="C39" s="23" t="s">
        <v>94</v>
      </c>
      <c r="D39" s="23" t="s">
        <v>45</v>
      </c>
      <c r="E39" s="23">
        <v>2</v>
      </c>
      <c r="F39" s="23" t="s">
        <v>34</v>
      </c>
      <c r="G39" s="23" t="s">
        <v>48</v>
      </c>
      <c r="H39" s="23">
        <v>1040</v>
      </c>
      <c r="I39" s="23">
        <v>2080</v>
      </c>
    </row>
    <row r="40" spans="1:9" ht="15" customHeight="1" x14ac:dyDescent="0.35">
      <c r="A40" s="22" t="s">
        <v>145</v>
      </c>
      <c r="B40" s="22" t="s">
        <v>146</v>
      </c>
      <c r="C40" s="22" t="s">
        <v>86</v>
      </c>
      <c r="D40" s="22" t="s">
        <v>49</v>
      </c>
      <c r="E40" s="22">
        <v>1</v>
      </c>
      <c r="F40" s="22" t="s">
        <v>36</v>
      </c>
      <c r="G40" s="22" t="s">
        <v>46</v>
      </c>
      <c r="H40" s="22">
        <v>780</v>
      </c>
      <c r="I40" s="22">
        <v>780</v>
      </c>
    </row>
    <row r="41" spans="1:9" ht="15" customHeight="1" x14ac:dyDescent="0.35">
      <c r="A41" s="23" t="s">
        <v>147</v>
      </c>
      <c r="B41" s="23" t="s">
        <v>103</v>
      </c>
      <c r="C41" s="23" t="s">
        <v>94</v>
      </c>
      <c r="D41" s="23" t="s">
        <v>45</v>
      </c>
      <c r="E41" s="23">
        <v>3</v>
      </c>
      <c r="F41" s="23" t="s">
        <v>32</v>
      </c>
      <c r="G41" s="23" t="s">
        <v>44</v>
      </c>
      <c r="H41" s="23">
        <v>1040</v>
      </c>
      <c r="I41" s="23">
        <v>3120</v>
      </c>
    </row>
    <row r="42" spans="1:9" ht="15" customHeight="1" x14ac:dyDescent="0.35">
      <c r="A42" s="22" t="s">
        <v>148</v>
      </c>
      <c r="B42" s="22" t="s">
        <v>139</v>
      </c>
      <c r="C42" s="22" t="s">
        <v>94</v>
      </c>
      <c r="D42" s="22" t="s">
        <v>45</v>
      </c>
      <c r="E42" s="22">
        <v>4</v>
      </c>
      <c r="F42" s="22" t="s">
        <v>32</v>
      </c>
      <c r="G42" s="22" t="s">
        <v>46</v>
      </c>
      <c r="H42" s="22">
        <v>1040</v>
      </c>
      <c r="I42" s="22">
        <v>4160</v>
      </c>
    </row>
    <row r="43" spans="1:9" ht="15" customHeight="1" x14ac:dyDescent="0.35">
      <c r="A43" s="23" t="s">
        <v>149</v>
      </c>
      <c r="B43" s="23" t="s">
        <v>150</v>
      </c>
      <c r="C43" s="23" t="s">
        <v>89</v>
      </c>
      <c r="D43" s="23" t="s">
        <v>49</v>
      </c>
      <c r="E43" s="23">
        <v>3</v>
      </c>
      <c r="F43" s="23" t="s">
        <v>34</v>
      </c>
      <c r="G43" s="23" t="s">
        <v>48</v>
      </c>
      <c r="H43" s="23">
        <v>520</v>
      </c>
      <c r="I43" s="23">
        <v>1560</v>
      </c>
    </row>
    <row r="44" spans="1:9" ht="15" customHeight="1" x14ac:dyDescent="0.35">
      <c r="A44" s="22" t="s">
        <v>151</v>
      </c>
      <c r="B44" s="22" t="s">
        <v>105</v>
      </c>
      <c r="C44" s="22" t="s">
        <v>71</v>
      </c>
      <c r="D44" s="22" t="s">
        <v>47</v>
      </c>
      <c r="E44" s="22">
        <v>4</v>
      </c>
      <c r="F44" s="22" t="s">
        <v>34</v>
      </c>
      <c r="G44" s="22" t="s">
        <v>46</v>
      </c>
      <c r="H44" s="22">
        <v>936</v>
      </c>
      <c r="I44" s="22">
        <v>3744</v>
      </c>
    </row>
    <row r="45" spans="1:9" ht="15" customHeight="1" x14ac:dyDescent="0.35">
      <c r="A45" s="23" t="s">
        <v>152</v>
      </c>
      <c r="B45" s="23" t="s">
        <v>144</v>
      </c>
      <c r="C45" s="23" t="s">
        <v>74</v>
      </c>
      <c r="D45" s="23" t="s">
        <v>45</v>
      </c>
      <c r="E45" s="23">
        <v>1</v>
      </c>
      <c r="F45" s="23" t="s">
        <v>36</v>
      </c>
      <c r="G45" s="23" t="s">
        <v>44</v>
      </c>
      <c r="H45" s="23">
        <v>624</v>
      </c>
      <c r="I45" s="23">
        <v>624</v>
      </c>
    </row>
    <row r="46" spans="1:9" ht="15" customHeight="1" x14ac:dyDescent="0.35">
      <c r="A46" s="22" t="s">
        <v>153</v>
      </c>
      <c r="B46" s="22" t="s">
        <v>154</v>
      </c>
      <c r="C46" s="22" t="s">
        <v>82</v>
      </c>
      <c r="D46" s="22" t="s">
        <v>47</v>
      </c>
      <c r="E46" s="22">
        <v>2</v>
      </c>
      <c r="F46" s="22" t="s">
        <v>32</v>
      </c>
      <c r="G46" s="22" t="s">
        <v>48</v>
      </c>
      <c r="H46" s="22">
        <v>416</v>
      </c>
      <c r="I46" s="22">
        <v>832</v>
      </c>
    </row>
    <row r="47" spans="1:9" ht="15" customHeight="1" x14ac:dyDescent="0.35">
      <c r="A47" s="23" t="s">
        <v>155</v>
      </c>
      <c r="B47" s="23" t="s">
        <v>156</v>
      </c>
      <c r="C47" s="23" t="s">
        <v>82</v>
      </c>
      <c r="D47" s="23" t="s">
        <v>47</v>
      </c>
      <c r="E47" s="23">
        <v>3</v>
      </c>
      <c r="F47" s="23" t="s">
        <v>32</v>
      </c>
      <c r="G47" s="23" t="s">
        <v>44</v>
      </c>
      <c r="H47" s="23">
        <v>416</v>
      </c>
      <c r="I47" s="23">
        <v>1248</v>
      </c>
    </row>
    <row r="48" spans="1:9" ht="15" customHeight="1" x14ac:dyDescent="0.35">
      <c r="A48" s="22" t="s">
        <v>157</v>
      </c>
      <c r="B48" s="22" t="s">
        <v>158</v>
      </c>
      <c r="C48" s="22" t="s">
        <v>82</v>
      </c>
      <c r="D48" s="22" t="s">
        <v>47</v>
      </c>
      <c r="E48" s="22">
        <v>5</v>
      </c>
      <c r="F48" s="22" t="s">
        <v>32</v>
      </c>
      <c r="G48" s="22" t="s">
        <v>48</v>
      </c>
      <c r="H48" s="22">
        <v>416</v>
      </c>
      <c r="I48" s="22">
        <v>2080</v>
      </c>
    </row>
    <row r="49" spans="1:9" ht="15" customHeight="1" x14ac:dyDescent="0.35">
      <c r="A49" s="23" t="s">
        <v>159</v>
      </c>
      <c r="B49" s="23" t="s">
        <v>103</v>
      </c>
      <c r="C49" s="23" t="s">
        <v>74</v>
      </c>
      <c r="D49" s="23" t="s">
        <v>45</v>
      </c>
      <c r="E49" s="23">
        <v>3</v>
      </c>
      <c r="F49" s="23" t="s">
        <v>34</v>
      </c>
      <c r="G49" s="23" t="s">
        <v>48</v>
      </c>
      <c r="H49" s="23">
        <v>624</v>
      </c>
      <c r="I49" s="23">
        <v>1872</v>
      </c>
    </row>
    <row r="50" spans="1:9" ht="15" customHeight="1" x14ac:dyDescent="0.35">
      <c r="A50" s="22" t="s">
        <v>160</v>
      </c>
      <c r="B50" s="22" t="s">
        <v>161</v>
      </c>
      <c r="C50" s="22" t="s">
        <v>74</v>
      </c>
      <c r="D50" s="22" t="s">
        <v>45</v>
      </c>
      <c r="E50" s="22">
        <v>2</v>
      </c>
      <c r="F50" s="22" t="s">
        <v>34</v>
      </c>
      <c r="G50" s="22" t="s">
        <v>44</v>
      </c>
      <c r="H50" s="22">
        <v>624</v>
      </c>
      <c r="I50" s="22">
        <v>1248</v>
      </c>
    </row>
    <row r="51" spans="1:9" ht="15" customHeight="1" x14ac:dyDescent="0.35">
      <c r="A51" s="23" t="s">
        <v>162</v>
      </c>
      <c r="B51" s="23" t="s">
        <v>163</v>
      </c>
      <c r="C51" s="23" t="s">
        <v>82</v>
      </c>
      <c r="D51" s="23" t="s">
        <v>47</v>
      </c>
      <c r="E51" s="23">
        <v>5</v>
      </c>
      <c r="F51" s="23" t="s">
        <v>36</v>
      </c>
      <c r="G51" s="23" t="s">
        <v>48</v>
      </c>
      <c r="H51" s="23">
        <v>416</v>
      </c>
      <c r="I51" s="23">
        <v>2080</v>
      </c>
    </row>
    <row r="52" spans="1:9" ht="15" customHeight="1" x14ac:dyDescent="0.35">
      <c r="A52" s="22" t="s">
        <v>164</v>
      </c>
      <c r="B52" s="22" t="s">
        <v>165</v>
      </c>
      <c r="C52" s="22" t="s">
        <v>89</v>
      </c>
      <c r="D52" s="22" t="s">
        <v>49</v>
      </c>
      <c r="E52" s="22">
        <v>5</v>
      </c>
      <c r="F52" s="22" t="s">
        <v>34</v>
      </c>
      <c r="G52" s="22" t="s">
        <v>48</v>
      </c>
      <c r="H52" s="22">
        <v>520</v>
      </c>
      <c r="I52" s="22">
        <v>2600</v>
      </c>
    </row>
    <row r="53" spans="1:9" ht="15" customHeight="1" x14ac:dyDescent="0.35">
      <c r="A53" s="23" t="s">
        <v>166</v>
      </c>
      <c r="B53" s="23" t="s">
        <v>167</v>
      </c>
      <c r="C53" s="23" t="s">
        <v>71</v>
      </c>
      <c r="D53" s="23" t="s">
        <v>47</v>
      </c>
      <c r="E53" s="23">
        <v>2</v>
      </c>
      <c r="F53" s="23" t="s">
        <v>32</v>
      </c>
      <c r="G53" s="23" t="s">
        <v>48</v>
      </c>
      <c r="H53" s="23">
        <v>936</v>
      </c>
      <c r="I53" s="23">
        <v>1872</v>
      </c>
    </row>
    <row r="54" spans="1:9" ht="15" customHeight="1" x14ac:dyDescent="0.35">
      <c r="A54" s="22" t="s">
        <v>168</v>
      </c>
      <c r="B54" s="22" t="s">
        <v>169</v>
      </c>
      <c r="C54" s="22" t="s">
        <v>74</v>
      </c>
      <c r="D54" s="22" t="s">
        <v>45</v>
      </c>
      <c r="E54" s="22">
        <v>5</v>
      </c>
      <c r="F54" s="22" t="s">
        <v>36</v>
      </c>
      <c r="G54" s="22" t="s">
        <v>46</v>
      </c>
      <c r="H54" s="22">
        <v>624</v>
      </c>
      <c r="I54" s="22">
        <v>3120</v>
      </c>
    </row>
    <row r="55" spans="1:9" ht="15" customHeight="1" x14ac:dyDescent="0.35">
      <c r="A55" s="23" t="s">
        <v>170</v>
      </c>
      <c r="B55" s="23" t="s">
        <v>158</v>
      </c>
      <c r="C55" s="23" t="s">
        <v>71</v>
      </c>
      <c r="D55" s="23" t="s">
        <v>47</v>
      </c>
      <c r="E55" s="23">
        <v>4</v>
      </c>
      <c r="F55" s="23" t="s">
        <v>32</v>
      </c>
      <c r="G55" s="23" t="s">
        <v>48</v>
      </c>
      <c r="H55" s="23">
        <v>936</v>
      </c>
      <c r="I55" s="23">
        <v>3744</v>
      </c>
    </row>
    <row r="56" spans="1:9" ht="15" customHeight="1" x14ac:dyDescent="0.35">
      <c r="A56" s="22" t="s">
        <v>171</v>
      </c>
      <c r="B56" s="22" t="s">
        <v>119</v>
      </c>
      <c r="C56" s="22" t="s">
        <v>89</v>
      </c>
      <c r="D56" s="22" t="s">
        <v>49</v>
      </c>
      <c r="E56" s="22">
        <v>2</v>
      </c>
      <c r="F56" s="22" t="s">
        <v>32</v>
      </c>
      <c r="G56" s="22" t="s">
        <v>46</v>
      </c>
      <c r="H56" s="22">
        <v>520</v>
      </c>
      <c r="I56" s="22">
        <v>1040</v>
      </c>
    </row>
    <row r="57" spans="1:9" ht="15" customHeight="1" x14ac:dyDescent="0.35">
      <c r="A57" s="23" t="s">
        <v>172</v>
      </c>
      <c r="B57" s="23" t="s">
        <v>135</v>
      </c>
      <c r="C57" s="23" t="s">
        <v>71</v>
      </c>
      <c r="D57" s="23" t="s">
        <v>47</v>
      </c>
      <c r="E57" s="23">
        <v>2</v>
      </c>
      <c r="F57" s="23" t="s">
        <v>34</v>
      </c>
      <c r="G57" s="23" t="s">
        <v>48</v>
      </c>
      <c r="H57" s="23">
        <v>936</v>
      </c>
      <c r="I57" s="23">
        <v>1872</v>
      </c>
    </row>
    <row r="58" spans="1:9" ht="15" customHeight="1" x14ac:dyDescent="0.35">
      <c r="A58" s="22" t="s">
        <v>173</v>
      </c>
      <c r="B58" s="22" t="s">
        <v>131</v>
      </c>
      <c r="C58" s="22" t="s">
        <v>86</v>
      </c>
      <c r="D58" s="22" t="s">
        <v>49</v>
      </c>
      <c r="E58" s="22">
        <v>4</v>
      </c>
      <c r="F58" s="22" t="s">
        <v>32</v>
      </c>
      <c r="G58" s="22" t="s">
        <v>46</v>
      </c>
      <c r="H58" s="22">
        <v>780</v>
      </c>
      <c r="I58" s="22">
        <v>3120</v>
      </c>
    </row>
    <row r="59" spans="1:9" ht="15" customHeight="1" x14ac:dyDescent="0.35">
      <c r="A59" s="23" t="s">
        <v>174</v>
      </c>
      <c r="B59" s="23" t="s">
        <v>175</v>
      </c>
      <c r="C59" s="23" t="s">
        <v>89</v>
      </c>
      <c r="D59" s="23" t="s">
        <v>49</v>
      </c>
      <c r="E59" s="23">
        <v>3</v>
      </c>
      <c r="F59" s="23" t="s">
        <v>36</v>
      </c>
      <c r="G59" s="23" t="s">
        <v>44</v>
      </c>
      <c r="H59" s="23">
        <v>520</v>
      </c>
      <c r="I59" s="23">
        <v>1560</v>
      </c>
    </row>
    <row r="60" spans="1:9" ht="15" customHeight="1" x14ac:dyDescent="0.35">
      <c r="A60" s="22" t="s">
        <v>176</v>
      </c>
      <c r="B60" s="22" t="s">
        <v>177</v>
      </c>
      <c r="C60" s="22" t="s">
        <v>71</v>
      </c>
      <c r="D60" s="22" t="s">
        <v>47</v>
      </c>
      <c r="E60" s="22">
        <v>1</v>
      </c>
      <c r="F60" s="22" t="s">
        <v>32</v>
      </c>
      <c r="G60" s="22" t="s">
        <v>48</v>
      </c>
      <c r="H60" s="22">
        <v>936</v>
      </c>
      <c r="I60" s="22">
        <v>936</v>
      </c>
    </row>
    <row r="61" spans="1:9" ht="15" customHeight="1" x14ac:dyDescent="0.35">
      <c r="A61" s="23" t="s">
        <v>178</v>
      </c>
      <c r="B61" s="23" t="s">
        <v>167</v>
      </c>
      <c r="C61" s="23" t="s">
        <v>86</v>
      </c>
      <c r="D61" s="23" t="s">
        <v>49</v>
      </c>
      <c r="E61" s="23">
        <v>5</v>
      </c>
      <c r="F61" s="23" t="s">
        <v>34</v>
      </c>
      <c r="G61" s="23" t="s">
        <v>44</v>
      </c>
      <c r="H61" s="23">
        <v>780</v>
      </c>
      <c r="I61" s="23">
        <v>3900</v>
      </c>
    </row>
    <row r="62" spans="1:9" ht="15" customHeight="1" x14ac:dyDescent="0.35">
      <c r="A62" s="22" t="s">
        <v>179</v>
      </c>
      <c r="B62" s="22" t="s">
        <v>180</v>
      </c>
      <c r="C62" s="22" t="s">
        <v>74</v>
      </c>
      <c r="D62" s="22" t="s">
        <v>45</v>
      </c>
      <c r="E62" s="22">
        <v>1</v>
      </c>
      <c r="F62" s="22" t="s">
        <v>36</v>
      </c>
      <c r="G62" s="22" t="s">
        <v>48</v>
      </c>
      <c r="H62" s="22">
        <v>624</v>
      </c>
      <c r="I62" s="22">
        <v>624</v>
      </c>
    </row>
    <row r="63" spans="1:9" ht="15" customHeight="1" x14ac:dyDescent="0.35">
      <c r="A63" s="23" t="s">
        <v>181</v>
      </c>
      <c r="B63" s="23" t="s">
        <v>182</v>
      </c>
      <c r="C63" s="23" t="s">
        <v>82</v>
      </c>
      <c r="D63" s="23" t="s">
        <v>47</v>
      </c>
      <c r="E63" s="23">
        <v>5</v>
      </c>
      <c r="F63" s="23" t="s">
        <v>36</v>
      </c>
      <c r="G63" s="23" t="s">
        <v>46</v>
      </c>
      <c r="H63" s="23">
        <v>416</v>
      </c>
      <c r="I63" s="23">
        <v>2080</v>
      </c>
    </row>
    <row r="64" spans="1:9" ht="15" customHeight="1" x14ac:dyDescent="0.35">
      <c r="A64" s="22" t="s">
        <v>183</v>
      </c>
      <c r="B64" s="22" t="s">
        <v>114</v>
      </c>
      <c r="C64" s="22" t="s">
        <v>94</v>
      </c>
      <c r="D64" s="22" t="s">
        <v>45</v>
      </c>
      <c r="E64" s="22">
        <v>3</v>
      </c>
      <c r="F64" s="22" t="s">
        <v>36</v>
      </c>
      <c r="G64" s="22" t="s">
        <v>48</v>
      </c>
      <c r="H64" s="22">
        <v>1040</v>
      </c>
      <c r="I64" s="22">
        <v>3120</v>
      </c>
    </row>
    <row r="65" spans="1:9" ht="15" customHeight="1" x14ac:dyDescent="0.35">
      <c r="A65" s="23" t="s">
        <v>184</v>
      </c>
      <c r="B65" s="23" t="s">
        <v>185</v>
      </c>
      <c r="C65" s="23" t="s">
        <v>89</v>
      </c>
      <c r="D65" s="23" t="s">
        <v>49</v>
      </c>
      <c r="E65" s="23">
        <v>4</v>
      </c>
      <c r="F65" s="23" t="s">
        <v>36</v>
      </c>
      <c r="G65" s="23" t="s">
        <v>48</v>
      </c>
      <c r="H65" s="23">
        <v>520</v>
      </c>
      <c r="I65" s="23">
        <v>2080</v>
      </c>
    </row>
    <row r="66" spans="1:9" ht="15" customHeight="1" x14ac:dyDescent="0.35">
      <c r="A66" s="22" t="s">
        <v>186</v>
      </c>
      <c r="B66" s="22" t="s">
        <v>187</v>
      </c>
      <c r="C66" s="22" t="s">
        <v>74</v>
      </c>
      <c r="D66" s="22" t="s">
        <v>45</v>
      </c>
      <c r="E66" s="22">
        <v>3</v>
      </c>
      <c r="F66" s="22" t="s">
        <v>36</v>
      </c>
      <c r="G66" s="22" t="s">
        <v>44</v>
      </c>
      <c r="H66" s="22">
        <v>624</v>
      </c>
      <c r="I66" s="22">
        <v>1872</v>
      </c>
    </row>
    <row r="67" spans="1:9" ht="15" customHeight="1" x14ac:dyDescent="0.35">
      <c r="A67" s="23" t="s">
        <v>188</v>
      </c>
      <c r="B67" s="23" t="s">
        <v>189</v>
      </c>
      <c r="C67" s="23" t="s">
        <v>89</v>
      </c>
      <c r="D67" s="23" t="s">
        <v>49</v>
      </c>
      <c r="E67" s="23">
        <v>5</v>
      </c>
      <c r="F67" s="23" t="s">
        <v>32</v>
      </c>
      <c r="G67" s="23" t="s">
        <v>48</v>
      </c>
      <c r="H67" s="23">
        <v>520</v>
      </c>
      <c r="I67" s="23">
        <v>2600</v>
      </c>
    </row>
    <row r="68" spans="1:9" ht="15" customHeight="1" x14ac:dyDescent="0.35">
      <c r="A68" s="22" t="s">
        <v>190</v>
      </c>
      <c r="B68" s="22" t="s">
        <v>78</v>
      </c>
      <c r="C68" s="22" t="s">
        <v>86</v>
      </c>
      <c r="D68" s="22" t="s">
        <v>49</v>
      </c>
      <c r="E68" s="22">
        <v>1</v>
      </c>
      <c r="F68" s="22" t="s">
        <v>34</v>
      </c>
      <c r="G68" s="22" t="s">
        <v>46</v>
      </c>
      <c r="H68" s="22">
        <v>780</v>
      </c>
      <c r="I68" s="22">
        <v>780</v>
      </c>
    </row>
    <row r="69" spans="1:9" ht="15" customHeight="1" x14ac:dyDescent="0.35">
      <c r="A69" s="23" t="s">
        <v>191</v>
      </c>
      <c r="B69" s="23" t="s">
        <v>192</v>
      </c>
      <c r="C69" s="23" t="s">
        <v>94</v>
      </c>
      <c r="D69" s="23" t="s">
        <v>45</v>
      </c>
      <c r="E69" s="23">
        <v>2</v>
      </c>
      <c r="F69" s="23" t="s">
        <v>36</v>
      </c>
      <c r="G69" s="23" t="s">
        <v>46</v>
      </c>
      <c r="H69" s="23">
        <v>1040</v>
      </c>
      <c r="I69" s="23">
        <v>2080</v>
      </c>
    </row>
    <row r="70" spans="1:9" ht="15" customHeight="1" x14ac:dyDescent="0.35">
      <c r="A70" s="22" t="s">
        <v>193</v>
      </c>
      <c r="B70" s="22" t="s">
        <v>103</v>
      </c>
      <c r="C70" s="22" t="s">
        <v>82</v>
      </c>
      <c r="D70" s="22" t="s">
        <v>47</v>
      </c>
      <c r="E70" s="22">
        <v>1</v>
      </c>
      <c r="F70" s="22" t="s">
        <v>32</v>
      </c>
      <c r="G70" s="22" t="s">
        <v>48</v>
      </c>
      <c r="H70" s="22">
        <v>416</v>
      </c>
      <c r="I70" s="22">
        <v>416</v>
      </c>
    </row>
    <row r="71" spans="1:9" ht="15" customHeight="1" x14ac:dyDescent="0.35">
      <c r="A71" s="23" t="s">
        <v>194</v>
      </c>
      <c r="B71" s="23" t="s">
        <v>195</v>
      </c>
      <c r="C71" s="23" t="s">
        <v>74</v>
      </c>
      <c r="D71" s="23" t="s">
        <v>45</v>
      </c>
      <c r="E71" s="23">
        <v>5</v>
      </c>
      <c r="F71" s="23" t="s">
        <v>32</v>
      </c>
      <c r="G71" s="23" t="s">
        <v>46</v>
      </c>
      <c r="H71" s="23">
        <v>624</v>
      </c>
      <c r="I71" s="23">
        <v>3120</v>
      </c>
    </row>
    <row r="72" spans="1:9" ht="15" customHeight="1" x14ac:dyDescent="0.35">
      <c r="A72" s="22" t="s">
        <v>196</v>
      </c>
      <c r="B72" s="22" t="s">
        <v>133</v>
      </c>
      <c r="C72" s="22" t="s">
        <v>71</v>
      </c>
      <c r="D72" s="22" t="s">
        <v>47</v>
      </c>
      <c r="E72" s="22">
        <v>5</v>
      </c>
      <c r="F72" s="22" t="s">
        <v>32</v>
      </c>
      <c r="G72" s="22" t="s">
        <v>48</v>
      </c>
      <c r="H72" s="22">
        <v>936</v>
      </c>
      <c r="I72" s="22">
        <v>4680</v>
      </c>
    </row>
    <row r="73" spans="1:9" ht="15" customHeight="1" x14ac:dyDescent="0.35">
      <c r="A73" s="23" t="s">
        <v>197</v>
      </c>
      <c r="B73" s="23" t="s">
        <v>107</v>
      </c>
      <c r="C73" s="23" t="s">
        <v>74</v>
      </c>
      <c r="D73" s="23" t="s">
        <v>45</v>
      </c>
      <c r="E73" s="23">
        <v>1</v>
      </c>
      <c r="F73" s="23" t="s">
        <v>34</v>
      </c>
      <c r="G73" s="23" t="s">
        <v>48</v>
      </c>
      <c r="H73" s="23">
        <v>624</v>
      </c>
      <c r="I73" s="23">
        <v>624</v>
      </c>
    </row>
    <row r="74" spans="1:9" ht="15" customHeight="1" x14ac:dyDescent="0.35">
      <c r="A74" s="22" t="s">
        <v>198</v>
      </c>
      <c r="B74" s="22" t="s">
        <v>127</v>
      </c>
      <c r="C74" s="22" t="s">
        <v>74</v>
      </c>
      <c r="D74" s="22" t="s">
        <v>45</v>
      </c>
      <c r="E74" s="22">
        <v>1</v>
      </c>
      <c r="F74" s="22" t="s">
        <v>32</v>
      </c>
      <c r="G74" s="22" t="s">
        <v>44</v>
      </c>
      <c r="H74" s="22">
        <v>624</v>
      </c>
      <c r="I74" s="22">
        <v>624</v>
      </c>
    </row>
    <row r="75" spans="1:9" ht="15" customHeight="1" x14ac:dyDescent="0.35">
      <c r="A75" s="23" t="s">
        <v>199</v>
      </c>
      <c r="B75" s="23" t="s">
        <v>177</v>
      </c>
      <c r="C75" s="23" t="s">
        <v>86</v>
      </c>
      <c r="D75" s="23" t="s">
        <v>49</v>
      </c>
      <c r="E75" s="23">
        <v>4</v>
      </c>
      <c r="F75" s="23" t="s">
        <v>34</v>
      </c>
      <c r="G75" s="23" t="s">
        <v>44</v>
      </c>
      <c r="H75" s="23">
        <v>780</v>
      </c>
      <c r="I75" s="23">
        <v>3120</v>
      </c>
    </row>
    <row r="76" spans="1:9" ht="15" customHeight="1" x14ac:dyDescent="0.35">
      <c r="A76" s="22" t="s">
        <v>200</v>
      </c>
      <c r="B76" s="22" t="s">
        <v>201</v>
      </c>
      <c r="C76" s="22" t="s">
        <v>71</v>
      </c>
      <c r="D76" s="22" t="s">
        <v>47</v>
      </c>
      <c r="E76" s="22">
        <v>2</v>
      </c>
      <c r="F76" s="22" t="s">
        <v>32</v>
      </c>
      <c r="G76" s="22" t="s">
        <v>46</v>
      </c>
      <c r="H76" s="22">
        <v>936</v>
      </c>
      <c r="I76" s="22">
        <v>1872</v>
      </c>
    </row>
    <row r="77" spans="1:9" ht="15" customHeight="1" x14ac:dyDescent="0.35">
      <c r="A77" s="23" t="s">
        <v>202</v>
      </c>
      <c r="B77" s="23" t="s">
        <v>182</v>
      </c>
      <c r="C77" s="23" t="s">
        <v>82</v>
      </c>
      <c r="D77" s="23" t="s">
        <v>47</v>
      </c>
      <c r="E77" s="23">
        <v>5</v>
      </c>
      <c r="F77" s="23" t="s">
        <v>34</v>
      </c>
      <c r="G77" s="23" t="s">
        <v>44</v>
      </c>
      <c r="H77" s="23">
        <v>416</v>
      </c>
      <c r="I77" s="23">
        <v>2080</v>
      </c>
    </row>
    <row r="78" spans="1:9" ht="15" customHeight="1" x14ac:dyDescent="0.35">
      <c r="A78" s="22" t="s">
        <v>203</v>
      </c>
      <c r="B78" s="22" t="s">
        <v>204</v>
      </c>
      <c r="C78" s="22" t="s">
        <v>89</v>
      </c>
      <c r="D78" s="22" t="s">
        <v>49</v>
      </c>
      <c r="E78" s="22">
        <v>2</v>
      </c>
      <c r="F78" s="22" t="s">
        <v>34</v>
      </c>
      <c r="G78" s="22" t="s">
        <v>48</v>
      </c>
      <c r="H78" s="22">
        <v>520</v>
      </c>
      <c r="I78" s="22">
        <v>1040</v>
      </c>
    </row>
    <row r="79" spans="1:9" ht="15" customHeight="1" x14ac:dyDescent="0.35">
      <c r="A79" s="23" t="s">
        <v>205</v>
      </c>
      <c r="B79" s="23" t="s">
        <v>156</v>
      </c>
      <c r="C79" s="23" t="s">
        <v>71</v>
      </c>
      <c r="D79" s="23" t="s">
        <v>47</v>
      </c>
      <c r="E79" s="23">
        <v>4</v>
      </c>
      <c r="F79" s="23" t="s">
        <v>36</v>
      </c>
      <c r="G79" s="23" t="s">
        <v>48</v>
      </c>
      <c r="H79" s="23">
        <v>936</v>
      </c>
      <c r="I79" s="23">
        <v>3744</v>
      </c>
    </row>
    <row r="80" spans="1:9" ht="15" customHeight="1" x14ac:dyDescent="0.35">
      <c r="A80" s="22" t="s">
        <v>206</v>
      </c>
      <c r="B80" s="22" t="s">
        <v>207</v>
      </c>
      <c r="C80" s="22" t="s">
        <v>74</v>
      </c>
      <c r="D80" s="22" t="s">
        <v>45</v>
      </c>
      <c r="E80" s="22">
        <v>4</v>
      </c>
      <c r="F80" s="22" t="s">
        <v>32</v>
      </c>
      <c r="G80" s="22" t="s">
        <v>48</v>
      </c>
      <c r="H80" s="22">
        <v>624</v>
      </c>
      <c r="I80" s="22">
        <v>2496</v>
      </c>
    </row>
    <row r="81" spans="1:9" ht="15" customHeight="1" x14ac:dyDescent="0.35">
      <c r="A81" s="23" t="s">
        <v>208</v>
      </c>
      <c r="B81" s="23" t="s">
        <v>154</v>
      </c>
      <c r="C81" s="23" t="s">
        <v>74</v>
      </c>
      <c r="D81" s="23" t="s">
        <v>45</v>
      </c>
      <c r="E81" s="23">
        <v>5</v>
      </c>
      <c r="F81" s="23" t="s">
        <v>36</v>
      </c>
      <c r="G81" s="23" t="s">
        <v>48</v>
      </c>
      <c r="H81" s="23">
        <v>624</v>
      </c>
      <c r="I81" s="23">
        <v>3120</v>
      </c>
    </row>
    <row r="82" spans="1:9" ht="15" customHeight="1" x14ac:dyDescent="0.35">
      <c r="A82" s="22" t="s">
        <v>209</v>
      </c>
      <c r="B82" s="22" t="s">
        <v>114</v>
      </c>
      <c r="C82" s="22" t="s">
        <v>71</v>
      </c>
      <c r="D82" s="22" t="s">
        <v>47</v>
      </c>
      <c r="E82" s="22">
        <v>1</v>
      </c>
      <c r="F82" s="22" t="s">
        <v>34</v>
      </c>
      <c r="G82" s="22" t="s">
        <v>48</v>
      </c>
      <c r="H82" s="22">
        <v>936</v>
      </c>
      <c r="I82" s="22">
        <v>936</v>
      </c>
    </row>
    <row r="83" spans="1:9" ht="15" customHeight="1" x14ac:dyDescent="0.35">
      <c r="A83" s="23" t="s">
        <v>210</v>
      </c>
      <c r="B83" s="23" t="s">
        <v>70</v>
      </c>
      <c r="C83" s="23" t="s">
        <v>94</v>
      </c>
      <c r="D83" s="23" t="s">
        <v>45</v>
      </c>
      <c r="E83" s="23">
        <v>1</v>
      </c>
      <c r="F83" s="23" t="s">
        <v>34</v>
      </c>
      <c r="G83" s="23" t="s">
        <v>48</v>
      </c>
      <c r="H83" s="23">
        <v>1040</v>
      </c>
      <c r="I83" s="23">
        <v>1040</v>
      </c>
    </row>
    <row r="84" spans="1:9" ht="15" customHeight="1" x14ac:dyDescent="0.35">
      <c r="A84" s="22" t="s">
        <v>211</v>
      </c>
      <c r="B84" s="22" t="s">
        <v>73</v>
      </c>
      <c r="C84" s="22" t="s">
        <v>89</v>
      </c>
      <c r="D84" s="22" t="s">
        <v>49</v>
      </c>
      <c r="E84" s="22">
        <v>3</v>
      </c>
      <c r="F84" s="22" t="s">
        <v>34</v>
      </c>
      <c r="G84" s="22" t="s">
        <v>44</v>
      </c>
      <c r="H84" s="22">
        <v>520</v>
      </c>
      <c r="I84" s="22">
        <v>1560</v>
      </c>
    </row>
    <row r="85" spans="1:9" ht="15" customHeight="1" x14ac:dyDescent="0.35">
      <c r="A85" s="23" t="s">
        <v>212</v>
      </c>
      <c r="B85" s="23" t="s">
        <v>213</v>
      </c>
      <c r="C85" s="23" t="s">
        <v>94</v>
      </c>
      <c r="D85" s="23" t="s">
        <v>45</v>
      </c>
      <c r="E85" s="23">
        <v>5</v>
      </c>
      <c r="F85" s="23" t="s">
        <v>34</v>
      </c>
      <c r="G85" s="23" t="s">
        <v>44</v>
      </c>
      <c r="H85" s="23">
        <v>1040</v>
      </c>
      <c r="I85" s="23">
        <v>5200</v>
      </c>
    </row>
    <row r="86" spans="1:9" ht="15" customHeight="1" x14ac:dyDescent="0.35">
      <c r="A86" s="22" t="s">
        <v>214</v>
      </c>
      <c r="B86" s="22" t="s">
        <v>207</v>
      </c>
      <c r="C86" s="22" t="s">
        <v>71</v>
      </c>
      <c r="D86" s="22" t="s">
        <v>47</v>
      </c>
      <c r="E86" s="22">
        <v>2</v>
      </c>
      <c r="F86" s="22" t="s">
        <v>36</v>
      </c>
      <c r="G86" s="22" t="s">
        <v>46</v>
      </c>
      <c r="H86" s="22">
        <v>936</v>
      </c>
      <c r="I86" s="22">
        <v>1872</v>
      </c>
    </row>
    <row r="87" spans="1:9" ht="15" customHeight="1" x14ac:dyDescent="0.35">
      <c r="A87" s="23" t="s">
        <v>215</v>
      </c>
      <c r="B87" s="23" t="s">
        <v>144</v>
      </c>
      <c r="C87" s="23" t="s">
        <v>86</v>
      </c>
      <c r="D87" s="23" t="s">
        <v>49</v>
      </c>
      <c r="E87" s="23">
        <v>3</v>
      </c>
      <c r="F87" s="23" t="s">
        <v>34</v>
      </c>
      <c r="G87" s="23" t="s">
        <v>48</v>
      </c>
      <c r="H87" s="23">
        <v>780</v>
      </c>
      <c r="I87" s="23">
        <v>2340</v>
      </c>
    </row>
    <row r="88" spans="1:9" ht="15" customHeight="1" x14ac:dyDescent="0.35">
      <c r="A88" s="22" t="s">
        <v>216</v>
      </c>
      <c r="B88" s="22" t="s">
        <v>121</v>
      </c>
      <c r="C88" s="22" t="s">
        <v>86</v>
      </c>
      <c r="D88" s="22" t="s">
        <v>49</v>
      </c>
      <c r="E88" s="22">
        <v>3</v>
      </c>
      <c r="F88" s="22" t="s">
        <v>34</v>
      </c>
      <c r="G88" s="22" t="s">
        <v>46</v>
      </c>
      <c r="H88" s="22">
        <v>780</v>
      </c>
      <c r="I88" s="22">
        <v>2340</v>
      </c>
    </row>
    <row r="89" spans="1:9" ht="15" customHeight="1" x14ac:dyDescent="0.35">
      <c r="A89" s="23" t="s">
        <v>217</v>
      </c>
      <c r="B89" s="23" t="s">
        <v>218</v>
      </c>
      <c r="C89" s="23" t="s">
        <v>86</v>
      </c>
      <c r="D89" s="23" t="s">
        <v>49</v>
      </c>
      <c r="E89" s="23">
        <v>4</v>
      </c>
      <c r="F89" s="23" t="s">
        <v>36</v>
      </c>
      <c r="G89" s="23" t="s">
        <v>44</v>
      </c>
      <c r="H89" s="23">
        <v>780</v>
      </c>
      <c r="I89" s="23">
        <v>3120</v>
      </c>
    </row>
    <row r="90" spans="1:9" ht="15" customHeight="1" x14ac:dyDescent="0.35">
      <c r="A90" s="22" t="s">
        <v>219</v>
      </c>
      <c r="B90" s="22" t="s">
        <v>220</v>
      </c>
      <c r="C90" s="22" t="s">
        <v>86</v>
      </c>
      <c r="D90" s="22" t="s">
        <v>49</v>
      </c>
      <c r="E90" s="22">
        <v>4</v>
      </c>
      <c r="F90" s="22" t="s">
        <v>36</v>
      </c>
      <c r="G90" s="22" t="s">
        <v>48</v>
      </c>
      <c r="H90" s="22">
        <v>780</v>
      </c>
      <c r="I90" s="22">
        <v>3120</v>
      </c>
    </row>
    <row r="91" spans="1:9" ht="15" customHeight="1" x14ac:dyDescent="0.35">
      <c r="A91" s="23" t="s">
        <v>221</v>
      </c>
      <c r="B91" s="23" t="s">
        <v>93</v>
      </c>
      <c r="C91" s="23" t="s">
        <v>94</v>
      </c>
      <c r="D91" s="23" t="s">
        <v>45</v>
      </c>
      <c r="E91" s="23">
        <v>1</v>
      </c>
      <c r="F91" s="23" t="s">
        <v>34</v>
      </c>
      <c r="G91" s="23" t="s">
        <v>44</v>
      </c>
      <c r="H91" s="23">
        <v>1040</v>
      </c>
      <c r="I91" s="23">
        <v>1040</v>
      </c>
    </row>
    <row r="92" spans="1:9" ht="15" customHeight="1" x14ac:dyDescent="0.35">
      <c r="A92" s="22" t="s">
        <v>222</v>
      </c>
      <c r="B92" s="22" t="s">
        <v>223</v>
      </c>
      <c r="C92" s="22" t="s">
        <v>82</v>
      </c>
      <c r="D92" s="22" t="s">
        <v>47</v>
      </c>
      <c r="E92" s="22">
        <v>2</v>
      </c>
      <c r="F92" s="22" t="s">
        <v>36</v>
      </c>
      <c r="G92" s="22" t="s">
        <v>48</v>
      </c>
      <c r="H92" s="22">
        <v>416</v>
      </c>
      <c r="I92" s="22">
        <v>832</v>
      </c>
    </row>
    <row r="93" spans="1:9" ht="15" customHeight="1" x14ac:dyDescent="0.35">
      <c r="A93" s="23" t="s">
        <v>224</v>
      </c>
      <c r="B93" s="23" t="s">
        <v>225</v>
      </c>
      <c r="C93" s="23" t="s">
        <v>89</v>
      </c>
      <c r="D93" s="23" t="s">
        <v>49</v>
      </c>
      <c r="E93" s="23">
        <v>4</v>
      </c>
      <c r="F93" s="23" t="s">
        <v>34</v>
      </c>
      <c r="G93" s="23" t="s">
        <v>46</v>
      </c>
      <c r="H93" s="23">
        <v>520</v>
      </c>
      <c r="I93" s="23">
        <v>2080</v>
      </c>
    </row>
    <row r="94" spans="1:9" ht="15" customHeight="1" x14ac:dyDescent="0.35">
      <c r="A94" s="22" t="s">
        <v>226</v>
      </c>
      <c r="B94" s="22" t="s">
        <v>187</v>
      </c>
      <c r="C94" s="22" t="s">
        <v>86</v>
      </c>
      <c r="D94" s="22" t="s">
        <v>49</v>
      </c>
      <c r="E94" s="22">
        <v>2</v>
      </c>
      <c r="F94" s="22" t="s">
        <v>36</v>
      </c>
      <c r="G94" s="22" t="s">
        <v>48</v>
      </c>
      <c r="H94" s="22">
        <v>780</v>
      </c>
      <c r="I94" s="22">
        <v>1560</v>
      </c>
    </row>
    <row r="95" spans="1:9" ht="15" customHeight="1" x14ac:dyDescent="0.35">
      <c r="A95" s="23" t="s">
        <v>227</v>
      </c>
      <c r="B95" s="23" t="s">
        <v>70</v>
      </c>
      <c r="C95" s="23" t="s">
        <v>71</v>
      </c>
      <c r="D95" s="23" t="s">
        <v>47</v>
      </c>
      <c r="E95" s="23">
        <v>2</v>
      </c>
      <c r="F95" s="23" t="s">
        <v>36</v>
      </c>
      <c r="G95" s="23" t="s">
        <v>44</v>
      </c>
      <c r="H95" s="23">
        <v>936</v>
      </c>
      <c r="I95" s="23">
        <v>1872</v>
      </c>
    </row>
    <row r="96" spans="1:9" ht="15" customHeight="1" x14ac:dyDescent="0.35">
      <c r="A96" s="22" t="s">
        <v>228</v>
      </c>
      <c r="B96" s="22" t="s">
        <v>99</v>
      </c>
      <c r="C96" s="22" t="s">
        <v>82</v>
      </c>
      <c r="D96" s="22" t="s">
        <v>47</v>
      </c>
      <c r="E96" s="22">
        <v>2</v>
      </c>
      <c r="F96" s="22" t="s">
        <v>32</v>
      </c>
      <c r="G96" s="22" t="s">
        <v>44</v>
      </c>
      <c r="H96" s="22">
        <v>416</v>
      </c>
      <c r="I96" s="22">
        <v>832</v>
      </c>
    </row>
    <row r="97" spans="1:9" ht="15" customHeight="1" x14ac:dyDescent="0.35">
      <c r="A97" s="23" t="s">
        <v>229</v>
      </c>
      <c r="B97" s="23" t="s">
        <v>230</v>
      </c>
      <c r="C97" s="23" t="s">
        <v>71</v>
      </c>
      <c r="D97" s="23" t="s">
        <v>47</v>
      </c>
      <c r="E97" s="23">
        <v>4</v>
      </c>
      <c r="F97" s="23" t="s">
        <v>32</v>
      </c>
      <c r="G97" s="23" t="s">
        <v>44</v>
      </c>
      <c r="H97" s="23">
        <v>936</v>
      </c>
      <c r="I97" s="23">
        <v>3744</v>
      </c>
    </row>
    <row r="98" spans="1:9" ht="15" customHeight="1" x14ac:dyDescent="0.35">
      <c r="A98" s="22" t="s">
        <v>231</v>
      </c>
      <c r="B98" s="22" t="s">
        <v>161</v>
      </c>
      <c r="C98" s="22" t="s">
        <v>89</v>
      </c>
      <c r="D98" s="22" t="s">
        <v>49</v>
      </c>
      <c r="E98" s="22">
        <v>1</v>
      </c>
      <c r="F98" s="22" t="s">
        <v>32</v>
      </c>
      <c r="G98" s="22" t="s">
        <v>48</v>
      </c>
      <c r="H98" s="22">
        <v>520</v>
      </c>
      <c r="I98" s="22">
        <v>520</v>
      </c>
    </row>
    <row r="99" spans="1:9" ht="15" customHeight="1" x14ac:dyDescent="0.35">
      <c r="A99" s="23" t="s">
        <v>232</v>
      </c>
      <c r="B99" s="23" t="s">
        <v>220</v>
      </c>
      <c r="C99" s="23" t="s">
        <v>89</v>
      </c>
      <c r="D99" s="23" t="s">
        <v>49</v>
      </c>
      <c r="E99" s="23">
        <v>1</v>
      </c>
      <c r="F99" s="23" t="s">
        <v>32</v>
      </c>
      <c r="G99" s="23" t="s">
        <v>48</v>
      </c>
      <c r="H99" s="23">
        <v>520</v>
      </c>
      <c r="I99" s="23">
        <v>520</v>
      </c>
    </row>
    <row r="100" spans="1:9" ht="15" customHeight="1" x14ac:dyDescent="0.35">
      <c r="A100" s="22" t="s">
        <v>233</v>
      </c>
      <c r="B100" s="22" t="s">
        <v>131</v>
      </c>
      <c r="C100" s="22" t="s">
        <v>86</v>
      </c>
      <c r="D100" s="22" t="s">
        <v>49</v>
      </c>
      <c r="E100" s="22">
        <v>3</v>
      </c>
      <c r="F100" s="22" t="s">
        <v>32</v>
      </c>
      <c r="G100" s="22" t="s">
        <v>46</v>
      </c>
      <c r="H100" s="22">
        <v>780</v>
      </c>
      <c r="I100" s="22">
        <v>2340</v>
      </c>
    </row>
    <row r="101" spans="1:9" ht="15" customHeight="1" x14ac:dyDescent="0.35">
      <c r="A101" s="23" t="s">
        <v>234</v>
      </c>
      <c r="B101" s="23" t="s">
        <v>91</v>
      </c>
      <c r="C101" s="23" t="s">
        <v>89</v>
      </c>
      <c r="D101" s="23" t="s">
        <v>49</v>
      </c>
      <c r="E101" s="23">
        <v>4</v>
      </c>
      <c r="F101" s="23" t="s">
        <v>36</v>
      </c>
      <c r="G101" s="23" t="s">
        <v>44</v>
      </c>
      <c r="H101" s="23">
        <v>520</v>
      </c>
      <c r="I101" s="23">
        <v>2080</v>
      </c>
    </row>
    <row r="102" spans="1:9" ht="15" customHeight="1" x14ac:dyDescent="0.35">
      <c r="A102" s="22" t="s">
        <v>235</v>
      </c>
      <c r="B102" s="22" t="s">
        <v>236</v>
      </c>
      <c r="C102" s="22" t="s">
        <v>82</v>
      </c>
      <c r="D102" s="22" t="s">
        <v>47</v>
      </c>
      <c r="E102" s="22">
        <v>1</v>
      </c>
      <c r="F102" s="22" t="s">
        <v>34</v>
      </c>
      <c r="G102" s="22" t="s">
        <v>44</v>
      </c>
      <c r="H102" s="22">
        <v>416</v>
      </c>
      <c r="I102" s="22">
        <v>416</v>
      </c>
    </row>
    <row r="103" spans="1:9" ht="15" customHeight="1" x14ac:dyDescent="0.35">
      <c r="A103" s="23" t="s">
        <v>237</v>
      </c>
      <c r="B103" s="23" t="s">
        <v>167</v>
      </c>
      <c r="C103" s="23" t="s">
        <v>94</v>
      </c>
      <c r="D103" s="23" t="s">
        <v>45</v>
      </c>
      <c r="E103" s="23">
        <v>5</v>
      </c>
      <c r="F103" s="23" t="s">
        <v>34</v>
      </c>
      <c r="G103" s="23" t="s">
        <v>46</v>
      </c>
      <c r="H103" s="23">
        <v>1040</v>
      </c>
      <c r="I103" s="23">
        <v>5200</v>
      </c>
    </row>
    <row r="104" spans="1:9" ht="15" customHeight="1" x14ac:dyDescent="0.35">
      <c r="A104" s="22" t="s">
        <v>238</v>
      </c>
      <c r="B104" s="22" t="s">
        <v>239</v>
      </c>
      <c r="C104" s="22" t="s">
        <v>86</v>
      </c>
      <c r="D104" s="22" t="s">
        <v>49</v>
      </c>
      <c r="E104" s="22">
        <v>5</v>
      </c>
      <c r="F104" s="22" t="s">
        <v>34</v>
      </c>
      <c r="G104" s="22" t="s">
        <v>46</v>
      </c>
      <c r="H104" s="22">
        <v>780</v>
      </c>
      <c r="I104" s="22">
        <v>3900</v>
      </c>
    </row>
    <row r="105" spans="1:9" ht="15" customHeight="1" x14ac:dyDescent="0.35">
      <c r="A105" s="23" t="s">
        <v>240</v>
      </c>
      <c r="B105" s="23" t="s">
        <v>93</v>
      </c>
      <c r="C105" s="23" t="s">
        <v>82</v>
      </c>
      <c r="D105" s="23" t="s">
        <v>47</v>
      </c>
      <c r="E105" s="23">
        <v>2</v>
      </c>
      <c r="F105" s="23" t="s">
        <v>32</v>
      </c>
      <c r="G105" s="23" t="s">
        <v>46</v>
      </c>
      <c r="H105" s="23">
        <v>416</v>
      </c>
      <c r="I105" s="23">
        <v>832</v>
      </c>
    </row>
    <row r="106" spans="1:9" ht="15" customHeight="1" x14ac:dyDescent="0.35">
      <c r="A106" s="22" t="s">
        <v>241</v>
      </c>
      <c r="B106" s="22" t="s">
        <v>242</v>
      </c>
      <c r="C106" s="22" t="s">
        <v>94</v>
      </c>
      <c r="D106" s="22" t="s">
        <v>45</v>
      </c>
      <c r="E106" s="22">
        <v>2</v>
      </c>
      <c r="F106" s="22" t="s">
        <v>32</v>
      </c>
      <c r="G106" s="22" t="s">
        <v>44</v>
      </c>
      <c r="H106" s="22">
        <v>1040</v>
      </c>
      <c r="I106" s="22">
        <v>2080</v>
      </c>
    </row>
    <row r="107" spans="1:9" ht="15" customHeight="1" x14ac:dyDescent="0.35">
      <c r="A107" s="23" t="s">
        <v>243</v>
      </c>
      <c r="B107" s="23" t="s">
        <v>91</v>
      </c>
      <c r="C107" s="23" t="s">
        <v>86</v>
      </c>
      <c r="D107" s="23" t="s">
        <v>49</v>
      </c>
      <c r="E107" s="23">
        <v>2</v>
      </c>
      <c r="F107" s="23" t="s">
        <v>32</v>
      </c>
      <c r="G107" s="23" t="s">
        <v>48</v>
      </c>
      <c r="H107" s="23">
        <v>780</v>
      </c>
      <c r="I107" s="23">
        <v>1560</v>
      </c>
    </row>
    <row r="108" spans="1:9" ht="15" customHeight="1" x14ac:dyDescent="0.35">
      <c r="A108" s="22" t="s">
        <v>244</v>
      </c>
      <c r="B108" s="22" t="s">
        <v>236</v>
      </c>
      <c r="C108" s="22" t="s">
        <v>94</v>
      </c>
      <c r="D108" s="22" t="s">
        <v>45</v>
      </c>
      <c r="E108" s="22">
        <v>1</v>
      </c>
      <c r="F108" s="22" t="s">
        <v>36</v>
      </c>
      <c r="G108" s="22" t="s">
        <v>46</v>
      </c>
      <c r="H108" s="22">
        <v>1040</v>
      </c>
      <c r="I108" s="22">
        <v>1040</v>
      </c>
    </row>
    <row r="109" spans="1:9" ht="15" customHeight="1" x14ac:dyDescent="0.35">
      <c r="A109" s="23" t="s">
        <v>245</v>
      </c>
      <c r="B109" s="23" t="s">
        <v>246</v>
      </c>
      <c r="C109" s="23" t="s">
        <v>89</v>
      </c>
      <c r="D109" s="23" t="s">
        <v>49</v>
      </c>
      <c r="E109" s="23">
        <v>4</v>
      </c>
      <c r="F109" s="23" t="s">
        <v>34</v>
      </c>
      <c r="G109" s="23" t="s">
        <v>44</v>
      </c>
      <c r="H109" s="23">
        <v>520</v>
      </c>
      <c r="I109" s="23">
        <v>2080</v>
      </c>
    </row>
    <row r="110" spans="1:9" ht="15" customHeight="1" x14ac:dyDescent="0.35">
      <c r="A110" s="22" t="s">
        <v>247</v>
      </c>
      <c r="B110" s="22" t="s">
        <v>144</v>
      </c>
      <c r="C110" s="22" t="s">
        <v>94</v>
      </c>
      <c r="D110" s="22" t="s">
        <v>45</v>
      </c>
      <c r="E110" s="22">
        <v>5</v>
      </c>
      <c r="F110" s="22" t="s">
        <v>36</v>
      </c>
      <c r="G110" s="22" t="s">
        <v>48</v>
      </c>
      <c r="H110" s="22">
        <v>1040</v>
      </c>
      <c r="I110" s="22">
        <v>5200</v>
      </c>
    </row>
    <row r="111" spans="1:9" ht="15" customHeight="1" x14ac:dyDescent="0.35">
      <c r="A111" s="23" t="s">
        <v>248</v>
      </c>
      <c r="B111" s="23" t="s">
        <v>141</v>
      </c>
      <c r="C111" s="23" t="s">
        <v>82</v>
      </c>
      <c r="D111" s="23" t="s">
        <v>47</v>
      </c>
      <c r="E111" s="23">
        <v>4</v>
      </c>
      <c r="F111" s="23" t="s">
        <v>36</v>
      </c>
      <c r="G111" s="23" t="s">
        <v>46</v>
      </c>
      <c r="H111" s="23">
        <v>416</v>
      </c>
      <c r="I111" s="23">
        <v>1664</v>
      </c>
    </row>
    <row r="112" spans="1:9" ht="15" customHeight="1" x14ac:dyDescent="0.35">
      <c r="A112" s="22" t="s">
        <v>249</v>
      </c>
      <c r="B112" s="22" t="s">
        <v>250</v>
      </c>
      <c r="C112" s="22" t="s">
        <v>82</v>
      </c>
      <c r="D112" s="22" t="s">
        <v>47</v>
      </c>
      <c r="E112" s="22">
        <v>4</v>
      </c>
      <c r="F112" s="22" t="s">
        <v>36</v>
      </c>
      <c r="G112" s="22" t="s">
        <v>44</v>
      </c>
      <c r="H112" s="22">
        <v>416</v>
      </c>
      <c r="I112" s="22">
        <v>1664</v>
      </c>
    </row>
    <row r="113" spans="1:9" ht="15" customHeight="1" x14ac:dyDescent="0.35">
      <c r="A113" s="23" t="s">
        <v>251</v>
      </c>
      <c r="B113" s="23" t="s">
        <v>109</v>
      </c>
      <c r="C113" s="23" t="s">
        <v>82</v>
      </c>
      <c r="D113" s="23" t="s">
        <v>47</v>
      </c>
      <c r="E113" s="23">
        <v>4</v>
      </c>
      <c r="F113" s="23" t="s">
        <v>34</v>
      </c>
      <c r="G113" s="23" t="s">
        <v>46</v>
      </c>
      <c r="H113" s="23">
        <v>416</v>
      </c>
      <c r="I113" s="23">
        <v>1664</v>
      </c>
    </row>
    <row r="114" spans="1:9" ht="15" customHeight="1" x14ac:dyDescent="0.35">
      <c r="A114" s="22" t="s">
        <v>252</v>
      </c>
      <c r="B114" s="22" t="s">
        <v>253</v>
      </c>
      <c r="C114" s="22" t="s">
        <v>82</v>
      </c>
      <c r="D114" s="22" t="s">
        <v>47</v>
      </c>
      <c r="E114" s="22">
        <v>5</v>
      </c>
      <c r="F114" s="22" t="s">
        <v>32</v>
      </c>
      <c r="G114" s="22" t="s">
        <v>46</v>
      </c>
      <c r="H114" s="22">
        <v>416</v>
      </c>
      <c r="I114" s="22">
        <v>2080</v>
      </c>
    </row>
    <row r="115" spans="1:9" ht="15" customHeight="1" x14ac:dyDescent="0.35">
      <c r="A115" s="23" t="s">
        <v>254</v>
      </c>
      <c r="B115" s="23" t="s">
        <v>127</v>
      </c>
      <c r="C115" s="23" t="s">
        <v>74</v>
      </c>
      <c r="D115" s="23" t="s">
        <v>45</v>
      </c>
      <c r="E115" s="23">
        <v>4</v>
      </c>
      <c r="F115" s="23" t="s">
        <v>36</v>
      </c>
      <c r="G115" s="23" t="s">
        <v>44</v>
      </c>
      <c r="H115" s="23">
        <v>624</v>
      </c>
      <c r="I115" s="23">
        <v>2496</v>
      </c>
    </row>
    <row r="116" spans="1:9" ht="15" customHeight="1" x14ac:dyDescent="0.35">
      <c r="A116" s="22" t="s">
        <v>255</v>
      </c>
      <c r="B116" s="22" t="s">
        <v>144</v>
      </c>
      <c r="C116" s="22" t="s">
        <v>74</v>
      </c>
      <c r="D116" s="22" t="s">
        <v>45</v>
      </c>
      <c r="E116" s="22">
        <v>5</v>
      </c>
      <c r="F116" s="22" t="s">
        <v>34</v>
      </c>
      <c r="G116" s="22" t="s">
        <v>48</v>
      </c>
      <c r="H116" s="22">
        <v>624</v>
      </c>
      <c r="I116" s="22">
        <v>3120</v>
      </c>
    </row>
    <row r="117" spans="1:9" ht="15" customHeight="1" x14ac:dyDescent="0.35">
      <c r="A117" s="23" t="s">
        <v>256</v>
      </c>
      <c r="B117" s="23" t="s">
        <v>165</v>
      </c>
      <c r="C117" s="23" t="s">
        <v>94</v>
      </c>
      <c r="D117" s="23" t="s">
        <v>45</v>
      </c>
      <c r="E117" s="23">
        <v>2</v>
      </c>
      <c r="F117" s="23" t="s">
        <v>34</v>
      </c>
      <c r="G117" s="23" t="s">
        <v>46</v>
      </c>
      <c r="H117" s="23">
        <v>1040</v>
      </c>
      <c r="I117" s="23">
        <v>2080</v>
      </c>
    </row>
    <row r="118" spans="1:9" ht="15" customHeight="1" x14ac:dyDescent="0.35">
      <c r="A118" s="22" t="s">
        <v>257</v>
      </c>
      <c r="B118" s="22" t="s">
        <v>125</v>
      </c>
      <c r="C118" s="22" t="s">
        <v>71</v>
      </c>
      <c r="D118" s="22" t="s">
        <v>47</v>
      </c>
      <c r="E118" s="22">
        <v>5</v>
      </c>
      <c r="F118" s="22" t="s">
        <v>34</v>
      </c>
      <c r="G118" s="22" t="s">
        <v>48</v>
      </c>
      <c r="H118" s="22">
        <v>936</v>
      </c>
      <c r="I118" s="22">
        <v>4680</v>
      </c>
    </row>
    <row r="119" spans="1:9" ht="15" customHeight="1" x14ac:dyDescent="0.35">
      <c r="A119" s="23" t="s">
        <v>258</v>
      </c>
      <c r="B119" s="23" t="s">
        <v>117</v>
      </c>
      <c r="C119" s="23" t="s">
        <v>74</v>
      </c>
      <c r="D119" s="23" t="s">
        <v>45</v>
      </c>
      <c r="E119" s="23">
        <v>4</v>
      </c>
      <c r="F119" s="23" t="s">
        <v>36</v>
      </c>
      <c r="G119" s="23" t="s">
        <v>46</v>
      </c>
      <c r="H119" s="23">
        <v>624</v>
      </c>
      <c r="I119" s="23">
        <v>2496</v>
      </c>
    </row>
    <row r="120" spans="1:9" ht="15" customHeight="1" x14ac:dyDescent="0.35">
      <c r="A120" s="22" t="s">
        <v>259</v>
      </c>
      <c r="B120" s="22" t="s">
        <v>85</v>
      </c>
      <c r="C120" s="22" t="s">
        <v>86</v>
      </c>
      <c r="D120" s="22" t="s">
        <v>49</v>
      </c>
      <c r="E120" s="22">
        <v>4</v>
      </c>
      <c r="F120" s="22" t="s">
        <v>34</v>
      </c>
      <c r="G120" s="22" t="s">
        <v>48</v>
      </c>
      <c r="H120" s="22">
        <v>780</v>
      </c>
      <c r="I120" s="22">
        <v>3120</v>
      </c>
    </row>
    <row r="121" spans="1:9" ht="15" customHeight="1" x14ac:dyDescent="0.35">
      <c r="A121" s="23" t="s">
        <v>260</v>
      </c>
      <c r="B121" s="23" t="s">
        <v>150</v>
      </c>
      <c r="C121" s="23" t="s">
        <v>82</v>
      </c>
      <c r="D121" s="23" t="s">
        <v>47</v>
      </c>
      <c r="E121" s="23">
        <v>1</v>
      </c>
      <c r="F121" s="23" t="s">
        <v>36</v>
      </c>
      <c r="G121" s="23" t="s">
        <v>48</v>
      </c>
      <c r="H121" s="23">
        <v>416</v>
      </c>
      <c r="I121" s="23">
        <v>416</v>
      </c>
    </row>
    <row r="122" spans="1:9" ht="15" customHeight="1" x14ac:dyDescent="0.35">
      <c r="A122" s="22" t="s">
        <v>261</v>
      </c>
      <c r="B122" s="22" t="s">
        <v>207</v>
      </c>
      <c r="C122" s="22" t="s">
        <v>86</v>
      </c>
      <c r="D122" s="22" t="s">
        <v>49</v>
      </c>
      <c r="E122" s="22">
        <v>3</v>
      </c>
      <c r="F122" s="22" t="s">
        <v>32</v>
      </c>
      <c r="G122" s="22" t="s">
        <v>46</v>
      </c>
      <c r="H122" s="22">
        <v>780</v>
      </c>
      <c r="I122" s="22">
        <v>2340</v>
      </c>
    </row>
    <row r="123" spans="1:9" ht="15" customHeight="1" x14ac:dyDescent="0.35">
      <c r="A123" s="23" t="s">
        <v>262</v>
      </c>
      <c r="B123" s="23" t="s">
        <v>263</v>
      </c>
      <c r="C123" s="23" t="s">
        <v>86</v>
      </c>
      <c r="D123" s="23" t="s">
        <v>49</v>
      </c>
      <c r="E123" s="23">
        <v>4</v>
      </c>
      <c r="F123" s="23" t="s">
        <v>34</v>
      </c>
      <c r="G123" s="23" t="s">
        <v>46</v>
      </c>
      <c r="H123" s="23">
        <v>780</v>
      </c>
      <c r="I123" s="23">
        <v>3120</v>
      </c>
    </row>
    <row r="124" spans="1:9" ht="15" customHeight="1" x14ac:dyDescent="0.35">
      <c r="A124" s="22" t="s">
        <v>264</v>
      </c>
      <c r="B124" s="22" t="s">
        <v>70</v>
      </c>
      <c r="C124" s="22" t="s">
        <v>94</v>
      </c>
      <c r="D124" s="22" t="s">
        <v>45</v>
      </c>
      <c r="E124" s="22">
        <v>5</v>
      </c>
      <c r="F124" s="22" t="s">
        <v>32</v>
      </c>
      <c r="G124" s="22" t="s">
        <v>48</v>
      </c>
      <c r="H124" s="22">
        <v>1040</v>
      </c>
      <c r="I124" s="22">
        <v>5200</v>
      </c>
    </row>
    <row r="125" spans="1:9" ht="15" customHeight="1" x14ac:dyDescent="0.35">
      <c r="A125" s="23" t="s">
        <v>265</v>
      </c>
      <c r="B125" s="23" t="s">
        <v>263</v>
      </c>
      <c r="C125" s="23" t="s">
        <v>94</v>
      </c>
      <c r="D125" s="23" t="s">
        <v>45</v>
      </c>
      <c r="E125" s="23">
        <v>2</v>
      </c>
      <c r="F125" s="23" t="s">
        <v>34</v>
      </c>
      <c r="G125" s="23" t="s">
        <v>46</v>
      </c>
      <c r="H125" s="23">
        <v>1040</v>
      </c>
      <c r="I125" s="23">
        <v>2080</v>
      </c>
    </row>
    <row r="126" spans="1:9" ht="15" customHeight="1" x14ac:dyDescent="0.35">
      <c r="A126" s="22" t="s">
        <v>266</v>
      </c>
      <c r="B126" s="22" t="s">
        <v>93</v>
      </c>
      <c r="C126" s="22" t="s">
        <v>71</v>
      </c>
      <c r="D126" s="22" t="s">
        <v>47</v>
      </c>
      <c r="E126" s="22">
        <v>1</v>
      </c>
      <c r="F126" s="22" t="s">
        <v>32</v>
      </c>
      <c r="G126" s="22" t="s">
        <v>44</v>
      </c>
      <c r="H126" s="22">
        <v>936</v>
      </c>
      <c r="I126" s="22">
        <v>936</v>
      </c>
    </row>
    <row r="127" spans="1:9" ht="15" customHeight="1" x14ac:dyDescent="0.35">
      <c r="A127" s="23" t="s">
        <v>267</v>
      </c>
      <c r="B127" s="23" t="s">
        <v>207</v>
      </c>
      <c r="C127" s="23" t="s">
        <v>82</v>
      </c>
      <c r="D127" s="23" t="s">
        <v>47</v>
      </c>
      <c r="E127" s="23">
        <v>1</v>
      </c>
      <c r="F127" s="23" t="s">
        <v>36</v>
      </c>
      <c r="G127" s="23" t="s">
        <v>44</v>
      </c>
      <c r="H127" s="23">
        <v>416</v>
      </c>
      <c r="I127" s="23">
        <v>416</v>
      </c>
    </row>
    <row r="128" spans="1:9" ht="15" customHeight="1" x14ac:dyDescent="0.35">
      <c r="A128" s="22" t="s">
        <v>268</v>
      </c>
      <c r="B128" s="22" t="s">
        <v>85</v>
      </c>
      <c r="C128" s="22" t="s">
        <v>94</v>
      </c>
      <c r="D128" s="22" t="s">
        <v>45</v>
      </c>
      <c r="E128" s="22">
        <v>4</v>
      </c>
      <c r="F128" s="22" t="s">
        <v>32</v>
      </c>
      <c r="G128" s="22" t="s">
        <v>44</v>
      </c>
      <c r="H128" s="22">
        <v>1040</v>
      </c>
      <c r="I128" s="22">
        <v>4160</v>
      </c>
    </row>
    <row r="129" spans="1:9" ht="15" customHeight="1" x14ac:dyDescent="0.35">
      <c r="A129" s="23" t="s">
        <v>269</v>
      </c>
      <c r="B129" s="23" t="s">
        <v>201</v>
      </c>
      <c r="C129" s="23" t="s">
        <v>71</v>
      </c>
      <c r="D129" s="23" t="s">
        <v>47</v>
      </c>
      <c r="E129" s="23">
        <v>1</v>
      </c>
      <c r="F129" s="23" t="s">
        <v>36</v>
      </c>
      <c r="G129" s="23" t="s">
        <v>44</v>
      </c>
      <c r="H129" s="23">
        <v>936</v>
      </c>
      <c r="I129" s="23">
        <v>936</v>
      </c>
    </row>
    <row r="130" spans="1:9" ht="15" customHeight="1" x14ac:dyDescent="0.35">
      <c r="A130" s="22" t="s">
        <v>270</v>
      </c>
      <c r="B130" s="22" t="s">
        <v>271</v>
      </c>
      <c r="C130" s="22" t="s">
        <v>86</v>
      </c>
      <c r="D130" s="22" t="s">
        <v>49</v>
      </c>
      <c r="E130" s="22">
        <v>4</v>
      </c>
      <c r="F130" s="22" t="s">
        <v>32</v>
      </c>
      <c r="G130" s="22" t="s">
        <v>44</v>
      </c>
      <c r="H130" s="22">
        <v>780</v>
      </c>
      <c r="I130" s="22">
        <v>3120</v>
      </c>
    </row>
    <row r="131" spans="1:9" ht="15" customHeight="1" x14ac:dyDescent="0.35">
      <c r="A131" s="23" t="s">
        <v>272</v>
      </c>
      <c r="B131" s="23" t="s">
        <v>273</v>
      </c>
      <c r="C131" s="23" t="s">
        <v>74</v>
      </c>
      <c r="D131" s="23" t="s">
        <v>45</v>
      </c>
      <c r="E131" s="23">
        <v>2</v>
      </c>
      <c r="F131" s="23" t="s">
        <v>34</v>
      </c>
      <c r="G131" s="23" t="s">
        <v>46</v>
      </c>
      <c r="H131" s="23">
        <v>624</v>
      </c>
      <c r="I131" s="23">
        <v>1248</v>
      </c>
    </row>
    <row r="132" spans="1:9" ht="15" customHeight="1" x14ac:dyDescent="0.35">
      <c r="A132" s="22" t="s">
        <v>274</v>
      </c>
      <c r="B132" s="22" t="s">
        <v>70</v>
      </c>
      <c r="C132" s="22" t="s">
        <v>86</v>
      </c>
      <c r="D132" s="22" t="s">
        <v>49</v>
      </c>
      <c r="E132" s="22">
        <v>2</v>
      </c>
      <c r="F132" s="22" t="s">
        <v>32</v>
      </c>
      <c r="G132" s="22" t="s">
        <v>44</v>
      </c>
      <c r="H132" s="22">
        <v>780</v>
      </c>
      <c r="I132" s="22">
        <v>1560</v>
      </c>
    </row>
    <row r="133" spans="1:9" ht="15" customHeight="1" x14ac:dyDescent="0.35">
      <c r="A133" s="23" t="s">
        <v>275</v>
      </c>
      <c r="B133" s="23" t="s">
        <v>276</v>
      </c>
      <c r="C133" s="23" t="s">
        <v>89</v>
      </c>
      <c r="D133" s="23" t="s">
        <v>49</v>
      </c>
      <c r="E133" s="23">
        <v>5</v>
      </c>
      <c r="F133" s="23" t="s">
        <v>32</v>
      </c>
      <c r="G133" s="23" t="s">
        <v>44</v>
      </c>
      <c r="H133" s="23">
        <v>520</v>
      </c>
      <c r="I133" s="23">
        <v>2600</v>
      </c>
    </row>
    <row r="134" spans="1:9" ht="15" customHeight="1" x14ac:dyDescent="0.35">
      <c r="A134" s="22" t="s">
        <v>277</v>
      </c>
      <c r="B134" s="22" t="s">
        <v>242</v>
      </c>
      <c r="C134" s="22" t="s">
        <v>82</v>
      </c>
      <c r="D134" s="22" t="s">
        <v>47</v>
      </c>
      <c r="E134" s="22">
        <v>3</v>
      </c>
      <c r="F134" s="22" t="s">
        <v>32</v>
      </c>
      <c r="G134" s="22" t="s">
        <v>46</v>
      </c>
      <c r="H134" s="22">
        <v>416</v>
      </c>
      <c r="I134" s="22">
        <v>1248</v>
      </c>
    </row>
    <row r="135" spans="1:9" ht="15" customHeight="1" x14ac:dyDescent="0.35">
      <c r="A135" s="23" t="s">
        <v>278</v>
      </c>
      <c r="B135" s="23" t="s">
        <v>88</v>
      </c>
      <c r="C135" s="23" t="s">
        <v>71</v>
      </c>
      <c r="D135" s="23" t="s">
        <v>47</v>
      </c>
      <c r="E135" s="23">
        <v>2</v>
      </c>
      <c r="F135" s="23" t="s">
        <v>36</v>
      </c>
      <c r="G135" s="23" t="s">
        <v>48</v>
      </c>
      <c r="H135" s="23">
        <v>936</v>
      </c>
      <c r="I135" s="23">
        <v>1872</v>
      </c>
    </row>
    <row r="136" spans="1:9" ht="15" customHeight="1" x14ac:dyDescent="0.35">
      <c r="A136" s="22" t="s">
        <v>279</v>
      </c>
      <c r="B136" s="22" t="s">
        <v>150</v>
      </c>
      <c r="C136" s="22" t="s">
        <v>71</v>
      </c>
      <c r="D136" s="22" t="s">
        <v>47</v>
      </c>
      <c r="E136" s="22">
        <v>2</v>
      </c>
      <c r="F136" s="22" t="s">
        <v>36</v>
      </c>
      <c r="G136" s="22" t="s">
        <v>46</v>
      </c>
      <c r="H136" s="22">
        <v>936</v>
      </c>
      <c r="I136" s="22">
        <v>1872</v>
      </c>
    </row>
    <row r="137" spans="1:9" ht="15" customHeight="1" x14ac:dyDescent="0.35">
      <c r="A137" s="23" t="s">
        <v>280</v>
      </c>
      <c r="B137" s="23" t="s">
        <v>85</v>
      </c>
      <c r="C137" s="23" t="s">
        <v>89</v>
      </c>
      <c r="D137" s="23" t="s">
        <v>49</v>
      </c>
      <c r="E137" s="23">
        <v>4</v>
      </c>
      <c r="F137" s="23" t="s">
        <v>36</v>
      </c>
      <c r="G137" s="23" t="s">
        <v>46</v>
      </c>
      <c r="H137" s="23">
        <v>520</v>
      </c>
      <c r="I137" s="23">
        <v>2080</v>
      </c>
    </row>
    <row r="138" spans="1:9" ht="15" customHeight="1" x14ac:dyDescent="0.35">
      <c r="A138" s="22" t="s">
        <v>281</v>
      </c>
      <c r="B138" s="22" t="s">
        <v>97</v>
      </c>
      <c r="C138" s="22" t="s">
        <v>71</v>
      </c>
      <c r="D138" s="22" t="s">
        <v>47</v>
      </c>
      <c r="E138" s="22">
        <v>3</v>
      </c>
      <c r="F138" s="22" t="s">
        <v>32</v>
      </c>
      <c r="G138" s="22" t="s">
        <v>46</v>
      </c>
      <c r="H138" s="22">
        <v>936</v>
      </c>
      <c r="I138" s="22">
        <v>2808</v>
      </c>
    </row>
    <row r="139" spans="1:9" ht="15" customHeight="1" x14ac:dyDescent="0.35">
      <c r="A139" s="23" t="s">
        <v>282</v>
      </c>
      <c r="B139" s="23" t="s">
        <v>107</v>
      </c>
      <c r="C139" s="23" t="s">
        <v>89</v>
      </c>
      <c r="D139" s="23" t="s">
        <v>49</v>
      </c>
      <c r="E139" s="23">
        <v>5</v>
      </c>
      <c r="F139" s="23" t="s">
        <v>34</v>
      </c>
      <c r="G139" s="23" t="s">
        <v>48</v>
      </c>
      <c r="H139" s="23">
        <v>520</v>
      </c>
      <c r="I139" s="23">
        <v>2600</v>
      </c>
    </row>
    <row r="140" spans="1:9" ht="15" customHeight="1" x14ac:dyDescent="0.35">
      <c r="A140" s="22" t="s">
        <v>283</v>
      </c>
      <c r="B140" s="22" t="s">
        <v>187</v>
      </c>
      <c r="C140" s="22" t="s">
        <v>82</v>
      </c>
      <c r="D140" s="22" t="s">
        <v>47</v>
      </c>
      <c r="E140" s="22">
        <v>1</v>
      </c>
      <c r="F140" s="22" t="s">
        <v>32</v>
      </c>
      <c r="G140" s="22" t="s">
        <v>46</v>
      </c>
      <c r="H140" s="22">
        <v>416</v>
      </c>
      <c r="I140" s="22">
        <v>416</v>
      </c>
    </row>
    <row r="141" spans="1:9" ht="15" customHeight="1" x14ac:dyDescent="0.35">
      <c r="A141" s="23" t="s">
        <v>284</v>
      </c>
      <c r="B141" s="23" t="s">
        <v>135</v>
      </c>
      <c r="C141" s="23" t="s">
        <v>94</v>
      </c>
      <c r="D141" s="23" t="s">
        <v>45</v>
      </c>
      <c r="E141" s="23">
        <v>3</v>
      </c>
      <c r="F141" s="23" t="s">
        <v>32</v>
      </c>
      <c r="G141" s="23" t="s">
        <v>46</v>
      </c>
      <c r="H141" s="23">
        <v>1040</v>
      </c>
      <c r="I141" s="23">
        <v>3120</v>
      </c>
    </row>
    <row r="142" spans="1:9" ht="15" customHeight="1" x14ac:dyDescent="0.35">
      <c r="A142" s="22" t="s">
        <v>285</v>
      </c>
      <c r="B142" s="22" t="s">
        <v>286</v>
      </c>
      <c r="C142" s="22" t="s">
        <v>89</v>
      </c>
      <c r="D142" s="22" t="s">
        <v>49</v>
      </c>
      <c r="E142" s="22">
        <v>2</v>
      </c>
      <c r="F142" s="22" t="s">
        <v>32</v>
      </c>
      <c r="G142" s="22" t="s">
        <v>46</v>
      </c>
      <c r="H142" s="22">
        <v>520</v>
      </c>
      <c r="I142" s="22">
        <v>1040</v>
      </c>
    </row>
    <row r="143" spans="1:9" ht="15" customHeight="1" x14ac:dyDescent="0.35">
      <c r="A143" s="23" t="s">
        <v>287</v>
      </c>
      <c r="B143" s="23" t="s">
        <v>154</v>
      </c>
      <c r="C143" s="23" t="s">
        <v>71</v>
      </c>
      <c r="D143" s="23" t="s">
        <v>47</v>
      </c>
      <c r="E143" s="23">
        <v>4</v>
      </c>
      <c r="F143" s="23" t="s">
        <v>36</v>
      </c>
      <c r="G143" s="23" t="s">
        <v>46</v>
      </c>
      <c r="H143" s="23">
        <v>936</v>
      </c>
      <c r="I143" s="23">
        <v>3744</v>
      </c>
    </row>
    <row r="144" spans="1:9" ht="15" customHeight="1" x14ac:dyDescent="0.35">
      <c r="A144" s="22" t="s">
        <v>288</v>
      </c>
      <c r="B144" s="22" t="s">
        <v>230</v>
      </c>
      <c r="C144" s="22" t="s">
        <v>74</v>
      </c>
      <c r="D144" s="22" t="s">
        <v>45</v>
      </c>
      <c r="E144" s="22">
        <v>2</v>
      </c>
      <c r="F144" s="22" t="s">
        <v>32</v>
      </c>
      <c r="G144" s="22" t="s">
        <v>46</v>
      </c>
      <c r="H144" s="22">
        <v>624</v>
      </c>
      <c r="I144" s="22">
        <v>1248</v>
      </c>
    </row>
    <row r="145" spans="1:9" ht="15" customHeight="1" x14ac:dyDescent="0.35">
      <c r="A145" s="23" t="s">
        <v>289</v>
      </c>
      <c r="B145" s="23" t="s">
        <v>91</v>
      </c>
      <c r="C145" s="23" t="s">
        <v>71</v>
      </c>
      <c r="D145" s="23" t="s">
        <v>47</v>
      </c>
      <c r="E145" s="23">
        <v>1</v>
      </c>
      <c r="F145" s="23" t="s">
        <v>32</v>
      </c>
      <c r="G145" s="23" t="s">
        <v>48</v>
      </c>
      <c r="H145" s="23">
        <v>936</v>
      </c>
      <c r="I145" s="23">
        <v>936</v>
      </c>
    </row>
    <row r="146" spans="1:9" ht="15" customHeight="1" x14ac:dyDescent="0.35">
      <c r="A146" s="22" t="s">
        <v>290</v>
      </c>
      <c r="B146" s="22" t="s">
        <v>109</v>
      </c>
      <c r="C146" s="22" t="s">
        <v>89</v>
      </c>
      <c r="D146" s="22" t="s">
        <v>49</v>
      </c>
      <c r="E146" s="22">
        <v>3</v>
      </c>
      <c r="F146" s="22" t="s">
        <v>32</v>
      </c>
      <c r="G146" s="22" t="s">
        <v>46</v>
      </c>
      <c r="H146" s="22">
        <v>520</v>
      </c>
      <c r="I146" s="22">
        <v>1560</v>
      </c>
    </row>
    <row r="147" spans="1:9" ht="15" customHeight="1" x14ac:dyDescent="0.35">
      <c r="A147" s="23" t="s">
        <v>291</v>
      </c>
      <c r="B147" s="23" t="s">
        <v>204</v>
      </c>
      <c r="C147" s="23" t="s">
        <v>74</v>
      </c>
      <c r="D147" s="23" t="s">
        <v>45</v>
      </c>
      <c r="E147" s="23">
        <v>2</v>
      </c>
      <c r="F147" s="23" t="s">
        <v>34</v>
      </c>
      <c r="G147" s="23" t="s">
        <v>46</v>
      </c>
      <c r="H147" s="23">
        <v>624</v>
      </c>
      <c r="I147" s="23">
        <v>1248</v>
      </c>
    </row>
    <row r="148" spans="1:9" ht="15" customHeight="1" x14ac:dyDescent="0.35">
      <c r="A148" s="22" t="s">
        <v>292</v>
      </c>
      <c r="B148" s="22" t="s">
        <v>156</v>
      </c>
      <c r="C148" s="22" t="s">
        <v>74</v>
      </c>
      <c r="D148" s="22" t="s">
        <v>45</v>
      </c>
      <c r="E148" s="22">
        <v>2</v>
      </c>
      <c r="F148" s="22" t="s">
        <v>36</v>
      </c>
      <c r="G148" s="22" t="s">
        <v>48</v>
      </c>
      <c r="H148" s="22">
        <v>624</v>
      </c>
      <c r="I148" s="22">
        <v>1248</v>
      </c>
    </row>
    <row r="149" spans="1:9" ht="15" customHeight="1" x14ac:dyDescent="0.35">
      <c r="A149" s="23" t="s">
        <v>293</v>
      </c>
      <c r="B149" s="23" t="s">
        <v>189</v>
      </c>
      <c r="C149" s="23" t="s">
        <v>71</v>
      </c>
      <c r="D149" s="23" t="s">
        <v>47</v>
      </c>
      <c r="E149" s="23">
        <v>2</v>
      </c>
      <c r="F149" s="23" t="s">
        <v>36</v>
      </c>
      <c r="G149" s="23" t="s">
        <v>44</v>
      </c>
      <c r="H149" s="23">
        <v>936</v>
      </c>
      <c r="I149" s="23">
        <v>1872</v>
      </c>
    </row>
    <row r="150" spans="1:9" ht="15" customHeight="1" x14ac:dyDescent="0.35">
      <c r="A150" s="22" t="s">
        <v>294</v>
      </c>
      <c r="B150" s="22" t="s">
        <v>246</v>
      </c>
      <c r="C150" s="22" t="s">
        <v>82</v>
      </c>
      <c r="D150" s="22" t="s">
        <v>47</v>
      </c>
      <c r="E150" s="22">
        <v>2</v>
      </c>
      <c r="F150" s="22" t="s">
        <v>32</v>
      </c>
      <c r="G150" s="22" t="s">
        <v>48</v>
      </c>
      <c r="H150" s="22">
        <v>416</v>
      </c>
      <c r="I150" s="22">
        <v>832</v>
      </c>
    </row>
    <row r="151" spans="1:9" ht="15" customHeight="1" x14ac:dyDescent="0.35">
      <c r="A151" s="23" t="s">
        <v>295</v>
      </c>
      <c r="B151" s="23" t="s">
        <v>121</v>
      </c>
      <c r="C151" s="23" t="s">
        <v>86</v>
      </c>
      <c r="D151" s="23" t="s">
        <v>49</v>
      </c>
      <c r="E151" s="23">
        <v>1</v>
      </c>
      <c r="F151" s="23" t="s">
        <v>36</v>
      </c>
      <c r="G151" s="23" t="s">
        <v>48</v>
      </c>
      <c r="H151" s="23">
        <v>780</v>
      </c>
      <c r="I151" s="23">
        <v>780</v>
      </c>
    </row>
    <row r="152" spans="1:9" ht="15" customHeight="1" x14ac:dyDescent="0.35">
      <c r="A152" s="22" t="s">
        <v>296</v>
      </c>
      <c r="B152" s="22" t="s">
        <v>297</v>
      </c>
      <c r="C152" s="22" t="s">
        <v>89</v>
      </c>
      <c r="D152" s="22" t="s">
        <v>49</v>
      </c>
      <c r="E152" s="22">
        <v>1</v>
      </c>
      <c r="F152" s="22" t="s">
        <v>32</v>
      </c>
      <c r="G152" s="22" t="s">
        <v>44</v>
      </c>
      <c r="H152" s="22">
        <v>520</v>
      </c>
      <c r="I152" s="22">
        <v>520</v>
      </c>
    </row>
    <row r="153" spans="1:9" ht="15" customHeight="1" x14ac:dyDescent="0.35">
      <c r="A153" s="23" t="s">
        <v>298</v>
      </c>
      <c r="B153" s="23" t="s">
        <v>189</v>
      </c>
      <c r="C153" s="23" t="s">
        <v>89</v>
      </c>
      <c r="D153" s="23" t="s">
        <v>49</v>
      </c>
      <c r="E153" s="23">
        <v>2</v>
      </c>
      <c r="F153" s="23" t="s">
        <v>34</v>
      </c>
      <c r="G153" s="23" t="s">
        <v>44</v>
      </c>
      <c r="H153" s="23">
        <v>520</v>
      </c>
      <c r="I153" s="23">
        <v>1040</v>
      </c>
    </row>
    <row r="154" spans="1:9" ht="15" customHeight="1" x14ac:dyDescent="0.35">
      <c r="A154" s="22" t="s">
        <v>299</v>
      </c>
      <c r="B154" s="22" t="s">
        <v>187</v>
      </c>
      <c r="C154" s="22" t="s">
        <v>82</v>
      </c>
      <c r="D154" s="22" t="s">
        <v>47</v>
      </c>
      <c r="E154" s="22">
        <v>4</v>
      </c>
      <c r="F154" s="22" t="s">
        <v>32</v>
      </c>
      <c r="G154" s="22" t="s">
        <v>46</v>
      </c>
      <c r="H154" s="22">
        <v>416</v>
      </c>
      <c r="I154" s="22">
        <v>1664</v>
      </c>
    </row>
    <row r="155" spans="1:9" ht="15" customHeight="1" x14ac:dyDescent="0.35">
      <c r="A155" s="23" t="s">
        <v>300</v>
      </c>
      <c r="B155" s="23" t="s">
        <v>301</v>
      </c>
      <c r="C155" s="23" t="s">
        <v>74</v>
      </c>
      <c r="D155" s="23" t="s">
        <v>45</v>
      </c>
      <c r="E155" s="23">
        <v>2</v>
      </c>
      <c r="F155" s="23" t="s">
        <v>36</v>
      </c>
      <c r="G155" s="23" t="s">
        <v>46</v>
      </c>
      <c r="H155" s="23">
        <v>624</v>
      </c>
      <c r="I155" s="23">
        <v>1248</v>
      </c>
    </row>
    <row r="156" spans="1:9" ht="15" customHeight="1" x14ac:dyDescent="0.35">
      <c r="A156" s="22" t="s">
        <v>302</v>
      </c>
      <c r="B156" s="22" t="s">
        <v>146</v>
      </c>
      <c r="C156" s="22" t="s">
        <v>82</v>
      </c>
      <c r="D156" s="22" t="s">
        <v>47</v>
      </c>
      <c r="E156" s="22">
        <v>3</v>
      </c>
      <c r="F156" s="22" t="s">
        <v>32</v>
      </c>
      <c r="G156" s="22" t="s">
        <v>46</v>
      </c>
      <c r="H156" s="22">
        <v>416</v>
      </c>
      <c r="I156" s="22">
        <v>1248</v>
      </c>
    </row>
    <row r="157" spans="1:9" ht="15" customHeight="1" x14ac:dyDescent="0.35">
      <c r="A157" s="23" t="s">
        <v>303</v>
      </c>
      <c r="B157" s="23" t="s">
        <v>246</v>
      </c>
      <c r="C157" s="23" t="s">
        <v>89</v>
      </c>
      <c r="D157" s="23" t="s">
        <v>49</v>
      </c>
      <c r="E157" s="23">
        <v>2</v>
      </c>
      <c r="F157" s="23" t="s">
        <v>32</v>
      </c>
      <c r="G157" s="23" t="s">
        <v>46</v>
      </c>
      <c r="H157" s="23">
        <v>520</v>
      </c>
      <c r="I157" s="23">
        <v>1040</v>
      </c>
    </row>
    <row r="158" spans="1:9" ht="15" customHeight="1" x14ac:dyDescent="0.35">
      <c r="A158" s="22" t="s">
        <v>304</v>
      </c>
      <c r="B158" s="22" t="s">
        <v>165</v>
      </c>
      <c r="C158" s="22" t="s">
        <v>94</v>
      </c>
      <c r="D158" s="22" t="s">
        <v>45</v>
      </c>
      <c r="E158" s="22">
        <v>4</v>
      </c>
      <c r="F158" s="22" t="s">
        <v>36</v>
      </c>
      <c r="G158" s="22" t="s">
        <v>46</v>
      </c>
      <c r="H158" s="22">
        <v>1040</v>
      </c>
      <c r="I158" s="22">
        <v>4160</v>
      </c>
    </row>
    <row r="159" spans="1:9" ht="15" customHeight="1" x14ac:dyDescent="0.35">
      <c r="A159" s="23" t="s">
        <v>305</v>
      </c>
      <c r="B159" s="23" t="s">
        <v>78</v>
      </c>
      <c r="C159" s="23" t="s">
        <v>89</v>
      </c>
      <c r="D159" s="23" t="s">
        <v>49</v>
      </c>
      <c r="E159" s="23">
        <v>2</v>
      </c>
      <c r="F159" s="23" t="s">
        <v>32</v>
      </c>
      <c r="G159" s="23" t="s">
        <v>44</v>
      </c>
      <c r="H159" s="23">
        <v>520</v>
      </c>
      <c r="I159" s="23">
        <v>1040</v>
      </c>
    </row>
    <row r="160" spans="1:9" ht="15" customHeight="1" x14ac:dyDescent="0.35">
      <c r="A160" s="22" t="s">
        <v>306</v>
      </c>
      <c r="B160" s="22" t="s">
        <v>93</v>
      </c>
      <c r="C160" s="22" t="s">
        <v>86</v>
      </c>
      <c r="D160" s="22" t="s">
        <v>49</v>
      </c>
      <c r="E160" s="22">
        <v>5</v>
      </c>
      <c r="F160" s="22" t="s">
        <v>36</v>
      </c>
      <c r="G160" s="22" t="s">
        <v>48</v>
      </c>
      <c r="H160" s="22">
        <v>780</v>
      </c>
      <c r="I160" s="22">
        <v>3900</v>
      </c>
    </row>
    <row r="161" spans="1:9" ht="15" customHeight="1" x14ac:dyDescent="0.35">
      <c r="A161" s="23" t="s">
        <v>307</v>
      </c>
      <c r="B161" s="23" t="s">
        <v>239</v>
      </c>
      <c r="C161" s="23" t="s">
        <v>86</v>
      </c>
      <c r="D161" s="23" t="s">
        <v>49</v>
      </c>
      <c r="E161" s="23">
        <v>2</v>
      </c>
      <c r="F161" s="23" t="s">
        <v>32</v>
      </c>
      <c r="G161" s="23" t="s">
        <v>44</v>
      </c>
      <c r="H161" s="23">
        <v>780</v>
      </c>
      <c r="I161" s="23">
        <v>1560</v>
      </c>
    </row>
    <row r="162" spans="1:9" ht="15" customHeight="1" x14ac:dyDescent="0.35">
      <c r="A162" s="22" t="s">
        <v>308</v>
      </c>
      <c r="B162" s="22" t="s">
        <v>180</v>
      </c>
      <c r="C162" s="22" t="s">
        <v>74</v>
      </c>
      <c r="D162" s="22" t="s">
        <v>45</v>
      </c>
      <c r="E162" s="22">
        <v>2</v>
      </c>
      <c r="F162" s="22" t="s">
        <v>36</v>
      </c>
      <c r="G162" s="22" t="s">
        <v>44</v>
      </c>
      <c r="H162" s="22">
        <v>624</v>
      </c>
      <c r="I162" s="22">
        <v>1248</v>
      </c>
    </row>
    <row r="163" spans="1:9" ht="15" customHeight="1" x14ac:dyDescent="0.35">
      <c r="A163" s="23" t="s">
        <v>309</v>
      </c>
      <c r="B163" s="23" t="s">
        <v>139</v>
      </c>
      <c r="C163" s="23" t="s">
        <v>86</v>
      </c>
      <c r="D163" s="23" t="s">
        <v>49</v>
      </c>
      <c r="E163" s="23">
        <v>2</v>
      </c>
      <c r="F163" s="23" t="s">
        <v>36</v>
      </c>
      <c r="G163" s="23" t="s">
        <v>44</v>
      </c>
      <c r="H163" s="23">
        <v>780</v>
      </c>
      <c r="I163" s="23">
        <v>1560</v>
      </c>
    </row>
    <row r="164" spans="1:9" ht="15" customHeight="1" x14ac:dyDescent="0.35">
      <c r="A164" s="22" t="s">
        <v>310</v>
      </c>
      <c r="B164" s="22" t="s">
        <v>91</v>
      </c>
      <c r="C164" s="22" t="s">
        <v>89</v>
      </c>
      <c r="D164" s="22" t="s">
        <v>49</v>
      </c>
      <c r="E164" s="22">
        <v>2</v>
      </c>
      <c r="F164" s="22" t="s">
        <v>32</v>
      </c>
      <c r="G164" s="22" t="s">
        <v>46</v>
      </c>
      <c r="H164" s="22">
        <v>520</v>
      </c>
      <c r="I164" s="22">
        <v>1040</v>
      </c>
    </row>
    <row r="165" spans="1:9" ht="15" customHeight="1" x14ac:dyDescent="0.35">
      <c r="A165" s="23" t="s">
        <v>311</v>
      </c>
      <c r="B165" s="23" t="s">
        <v>109</v>
      </c>
      <c r="C165" s="23" t="s">
        <v>71</v>
      </c>
      <c r="D165" s="23" t="s">
        <v>47</v>
      </c>
      <c r="E165" s="23">
        <v>4</v>
      </c>
      <c r="F165" s="23" t="s">
        <v>32</v>
      </c>
      <c r="G165" s="23" t="s">
        <v>46</v>
      </c>
      <c r="H165" s="23">
        <v>936</v>
      </c>
      <c r="I165" s="23">
        <v>3744</v>
      </c>
    </row>
    <row r="166" spans="1:9" ht="15" customHeight="1" x14ac:dyDescent="0.35">
      <c r="A166" s="22" t="s">
        <v>312</v>
      </c>
      <c r="B166" s="22" t="s">
        <v>123</v>
      </c>
      <c r="C166" s="22" t="s">
        <v>86</v>
      </c>
      <c r="D166" s="22" t="s">
        <v>49</v>
      </c>
      <c r="E166" s="22">
        <v>3</v>
      </c>
      <c r="F166" s="22" t="s">
        <v>34</v>
      </c>
      <c r="G166" s="22" t="s">
        <v>44</v>
      </c>
      <c r="H166" s="22">
        <v>780</v>
      </c>
      <c r="I166" s="22">
        <v>2340</v>
      </c>
    </row>
    <row r="167" spans="1:9" ht="15" customHeight="1" x14ac:dyDescent="0.35">
      <c r="A167" s="23" t="s">
        <v>313</v>
      </c>
      <c r="B167" s="23" t="s">
        <v>189</v>
      </c>
      <c r="C167" s="23" t="s">
        <v>71</v>
      </c>
      <c r="D167" s="23" t="s">
        <v>47</v>
      </c>
      <c r="E167" s="23">
        <v>1</v>
      </c>
      <c r="F167" s="23" t="s">
        <v>32</v>
      </c>
      <c r="G167" s="23" t="s">
        <v>46</v>
      </c>
      <c r="H167" s="23">
        <v>936</v>
      </c>
      <c r="I167" s="23">
        <v>936</v>
      </c>
    </row>
    <row r="168" spans="1:9" ht="15" customHeight="1" x14ac:dyDescent="0.35">
      <c r="A168" s="22" t="s">
        <v>314</v>
      </c>
      <c r="B168" s="22" t="s">
        <v>123</v>
      </c>
      <c r="C168" s="22" t="s">
        <v>71</v>
      </c>
      <c r="D168" s="22" t="s">
        <v>47</v>
      </c>
      <c r="E168" s="22">
        <v>1</v>
      </c>
      <c r="F168" s="22" t="s">
        <v>32</v>
      </c>
      <c r="G168" s="22" t="s">
        <v>44</v>
      </c>
      <c r="H168" s="22">
        <v>936</v>
      </c>
      <c r="I168" s="22">
        <v>936</v>
      </c>
    </row>
    <row r="169" spans="1:9" ht="15" customHeight="1" x14ac:dyDescent="0.35">
      <c r="A169" s="23" t="s">
        <v>315</v>
      </c>
      <c r="B169" s="23" t="s">
        <v>180</v>
      </c>
      <c r="C169" s="23" t="s">
        <v>74</v>
      </c>
      <c r="D169" s="23" t="s">
        <v>45</v>
      </c>
      <c r="E169" s="23">
        <v>2</v>
      </c>
      <c r="F169" s="23" t="s">
        <v>36</v>
      </c>
      <c r="G169" s="23" t="s">
        <v>48</v>
      </c>
      <c r="H169" s="23">
        <v>624</v>
      </c>
      <c r="I169" s="23">
        <v>1248</v>
      </c>
    </row>
    <row r="170" spans="1:9" ht="15" customHeight="1" x14ac:dyDescent="0.35">
      <c r="A170" s="22" t="s">
        <v>316</v>
      </c>
      <c r="B170" s="22" t="s">
        <v>220</v>
      </c>
      <c r="C170" s="22" t="s">
        <v>82</v>
      </c>
      <c r="D170" s="22" t="s">
        <v>47</v>
      </c>
      <c r="E170" s="22">
        <v>5</v>
      </c>
      <c r="F170" s="22" t="s">
        <v>32</v>
      </c>
      <c r="G170" s="22" t="s">
        <v>48</v>
      </c>
      <c r="H170" s="22">
        <v>416</v>
      </c>
      <c r="I170" s="22">
        <v>2080</v>
      </c>
    </row>
    <row r="171" spans="1:9" ht="15" customHeight="1" x14ac:dyDescent="0.35">
      <c r="A171" s="23" t="s">
        <v>317</v>
      </c>
      <c r="B171" s="23" t="s">
        <v>144</v>
      </c>
      <c r="C171" s="23" t="s">
        <v>89</v>
      </c>
      <c r="D171" s="23" t="s">
        <v>49</v>
      </c>
      <c r="E171" s="23">
        <v>5</v>
      </c>
      <c r="F171" s="23" t="s">
        <v>36</v>
      </c>
      <c r="G171" s="23" t="s">
        <v>46</v>
      </c>
      <c r="H171" s="23">
        <v>520</v>
      </c>
      <c r="I171" s="23">
        <v>2600</v>
      </c>
    </row>
    <row r="172" spans="1:9" ht="15" customHeight="1" x14ac:dyDescent="0.35">
      <c r="A172" s="22" t="s">
        <v>318</v>
      </c>
      <c r="B172" s="22" t="s">
        <v>319</v>
      </c>
      <c r="C172" s="22" t="s">
        <v>89</v>
      </c>
      <c r="D172" s="22" t="s">
        <v>49</v>
      </c>
      <c r="E172" s="22">
        <v>2</v>
      </c>
      <c r="F172" s="22" t="s">
        <v>32</v>
      </c>
      <c r="G172" s="22" t="s">
        <v>44</v>
      </c>
      <c r="H172" s="22">
        <v>520</v>
      </c>
      <c r="I172" s="22">
        <v>1040</v>
      </c>
    </row>
    <row r="173" spans="1:9" ht="15" customHeight="1" x14ac:dyDescent="0.35">
      <c r="A173" s="23" t="s">
        <v>320</v>
      </c>
      <c r="B173" s="23" t="s">
        <v>207</v>
      </c>
      <c r="C173" s="23" t="s">
        <v>82</v>
      </c>
      <c r="D173" s="23" t="s">
        <v>47</v>
      </c>
      <c r="E173" s="23">
        <v>3</v>
      </c>
      <c r="F173" s="23" t="s">
        <v>32</v>
      </c>
      <c r="G173" s="23" t="s">
        <v>44</v>
      </c>
      <c r="H173" s="23">
        <v>416</v>
      </c>
      <c r="I173" s="23">
        <v>1248</v>
      </c>
    </row>
    <row r="174" spans="1:9" ht="15" customHeight="1" x14ac:dyDescent="0.35">
      <c r="A174" s="22" t="s">
        <v>321</v>
      </c>
      <c r="B174" s="22" t="s">
        <v>141</v>
      </c>
      <c r="C174" s="22" t="s">
        <v>71</v>
      </c>
      <c r="D174" s="22" t="s">
        <v>47</v>
      </c>
      <c r="E174" s="22">
        <v>2</v>
      </c>
      <c r="F174" s="22" t="s">
        <v>32</v>
      </c>
      <c r="G174" s="22" t="s">
        <v>48</v>
      </c>
      <c r="H174" s="22">
        <v>936</v>
      </c>
      <c r="I174" s="22">
        <v>1872</v>
      </c>
    </row>
    <row r="175" spans="1:9" ht="15" customHeight="1" x14ac:dyDescent="0.35">
      <c r="A175" s="23" t="s">
        <v>322</v>
      </c>
      <c r="B175" s="23" t="s">
        <v>158</v>
      </c>
      <c r="C175" s="23" t="s">
        <v>94</v>
      </c>
      <c r="D175" s="23" t="s">
        <v>45</v>
      </c>
      <c r="E175" s="23">
        <v>2</v>
      </c>
      <c r="F175" s="23" t="s">
        <v>36</v>
      </c>
      <c r="G175" s="23" t="s">
        <v>48</v>
      </c>
      <c r="H175" s="23">
        <v>1040</v>
      </c>
      <c r="I175" s="23">
        <v>2080</v>
      </c>
    </row>
    <row r="176" spans="1:9" ht="15" customHeight="1" x14ac:dyDescent="0.35">
      <c r="A176" s="22" t="s">
        <v>323</v>
      </c>
      <c r="B176" s="22" t="s">
        <v>253</v>
      </c>
      <c r="C176" s="22" t="s">
        <v>74</v>
      </c>
      <c r="D176" s="22" t="s">
        <v>45</v>
      </c>
      <c r="E176" s="22">
        <v>1</v>
      </c>
      <c r="F176" s="22" t="s">
        <v>34</v>
      </c>
      <c r="G176" s="22" t="s">
        <v>48</v>
      </c>
      <c r="H176" s="22">
        <v>624</v>
      </c>
      <c r="I176" s="22">
        <v>624</v>
      </c>
    </row>
    <row r="177" spans="1:9" ht="15" customHeight="1" x14ac:dyDescent="0.35">
      <c r="A177" s="23" t="s">
        <v>324</v>
      </c>
      <c r="B177" s="23" t="s">
        <v>263</v>
      </c>
      <c r="C177" s="23" t="s">
        <v>86</v>
      </c>
      <c r="D177" s="23" t="s">
        <v>49</v>
      </c>
      <c r="E177" s="23">
        <v>2</v>
      </c>
      <c r="F177" s="23" t="s">
        <v>32</v>
      </c>
      <c r="G177" s="23" t="s">
        <v>44</v>
      </c>
      <c r="H177" s="23">
        <v>780</v>
      </c>
      <c r="I177" s="23">
        <v>1560</v>
      </c>
    </row>
    <row r="178" spans="1:9" ht="15" customHeight="1" x14ac:dyDescent="0.35">
      <c r="A178" s="22" t="s">
        <v>325</v>
      </c>
      <c r="B178" s="22" t="s">
        <v>326</v>
      </c>
      <c r="C178" s="22" t="s">
        <v>86</v>
      </c>
      <c r="D178" s="22" t="s">
        <v>49</v>
      </c>
      <c r="E178" s="22">
        <v>2</v>
      </c>
      <c r="F178" s="22" t="s">
        <v>34</v>
      </c>
      <c r="G178" s="22" t="s">
        <v>44</v>
      </c>
      <c r="H178" s="22">
        <v>780</v>
      </c>
      <c r="I178" s="22">
        <v>1560</v>
      </c>
    </row>
    <row r="179" spans="1:9" ht="15" customHeight="1" x14ac:dyDescent="0.35">
      <c r="A179" s="23" t="s">
        <v>327</v>
      </c>
      <c r="B179" s="23" t="s">
        <v>105</v>
      </c>
      <c r="C179" s="23" t="s">
        <v>82</v>
      </c>
      <c r="D179" s="23" t="s">
        <v>47</v>
      </c>
      <c r="E179" s="23">
        <v>2</v>
      </c>
      <c r="F179" s="23" t="s">
        <v>34</v>
      </c>
      <c r="G179" s="23" t="s">
        <v>48</v>
      </c>
      <c r="H179" s="23">
        <v>416</v>
      </c>
      <c r="I179" s="23">
        <v>832</v>
      </c>
    </row>
    <row r="180" spans="1:9" ht="15" customHeight="1" x14ac:dyDescent="0.35">
      <c r="A180" s="22" t="s">
        <v>328</v>
      </c>
      <c r="B180" s="22" t="s">
        <v>91</v>
      </c>
      <c r="C180" s="22" t="s">
        <v>74</v>
      </c>
      <c r="D180" s="22" t="s">
        <v>45</v>
      </c>
      <c r="E180" s="22">
        <v>3</v>
      </c>
      <c r="F180" s="22" t="s">
        <v>36</v>
      </c>
      <c r="G180" s="22" t="s">
        <v>48</v>
      </c>
      <c r="H180" s="22">
        <v>624</v>
      </c>
      <c r="I180" s="22">
        <v>1872</v>
      </c>
    </row>
    <row r="181" spans="1:9" ht="15" customHeight="1" x14ac:dyDescent="0.35">
      <c r="A181" s="23" t="s">
        <v>329</v>
      </c>
      <c r="B181" s="23" t="s">
        <v>169</v>
      </c>
      <c r="C181" s="23" t="s">
        <v>86</v>
      </c>
      <c r="D181" s="23" t="s">
        <v>49</v>
      </c>
      <c r="E181" s="23">
        <v>5</v>
      </c>
      <c r="F181" s="23" t="s">
        <v>36</v>
      </c>
      <c r="G181" s="23" t="s">
        <v>48</v>
      </c>
      <c r="H181" s="23">
        <v>780</v>
      </c>
      <c r="I181" s="23">
        <v>3900</v>
      </c>
    </row>
    <row r="182" spans="1:9" ht="15" customHeight="1" x14ac:dyDescent="0.35">
      <c r="A182" s="22" t="s">
        <v>330</v>
      </c>
      <c r="B182" s="22" t="s">
        <v>301</v>
      </c>
      <c r="C182" s="22" t="s">
        <v>86</v>
      </c>
      <c r="D182" s="22" t="s">
        <v>49</v>
      </c>
      <c r="E182" s="22">
        <v>1</v>
      </c>
      <c r="F182" s="22" t="s">
        <v>32</v>
      </c>
      <c r="G182" s="22" t="s">
        <v>48</v>
      </c>
      <c r="H182" s="22">
        <v>780</v>
      </c>
      <c r="I182" s="22">
        <v>780</v>
      </c>
    </row>
    <row r="183" spans="1:9" ht="15" customHeight="1" x14ac:dyDescent="0.35">
      <c r="A183" s="23" t="s">
        <v>331</v>
      </c>
      <c r="B183" s="23" t="s">
        <v>332</v>
      </c>
      <c r="C183" s="23" t="s">
        <v>94</v>
      </c>
      <c r="D183" s="23" t="s">
        <v>45</v>
      </c>
      <c r="E183" s="23">
        <v>4</v>
      </c>
      <c r="F183" s="23" t="s">
        <v>36</v>
      </c>
      <c r="G183" s="23" t="s">
        <v>46</v>
      </c>
      <c r="H183" s="23">
        <v>1040</v>
      </c>
      <c r="I183" s="23">
        <v>4160</v>
      </c>
    </row>
    <row r="184" spans="1:9" ht="15" customHeight="1" x14ac:dyDescent="0.35">
      <c r="A184" s="22" t="s">
        <v>333</v>
      </c>
      <c r="B184" s="22" t="s">
        <v>334</v>
      </c>
      <c r="C184" s="22" t="s">
        <v>89</v>
      </c>
      <c r="D184" s="22" t="s">
        <v>49</v>
      </c>
      <c r="E184" s="22">
        <v>4</v>
      </c>
      <c r="F184" s="22" t="s">
        <v>36</v>
      </c>
      <c r="G184" s="22" t="s">
        <v>44</v>
      </c>
      <c r="H184" s="22">
        <v>520</v>
      </c>
      <c r="I184" s="22">
        <v>2080</v>
      </c>
    </row>
    <row r="185" spans="1:9" ht="15" customHeight="1" x14ac:dyDescent="0.35">
      <c r="A185" s="23" t="s">
        <v>335</v>
      </c>
      <c r="B185" s="23" t="s">
        <v>336</v>
      </c>
      <c r="C185" s="23" t="s">
        <v>94</v>
      </c>
      <c r="D185" s="23" t="s">
        <v>45</v>
      </c>
      <c r="E185" s="23">
        <v>2</v>
      </c>
      <c r="F185" s="23" t="s">
        <v>34</v>
      </c>
      <c r="G185" s="23" t="s">
        <v>46</v>
      </c>
      <c r="H185" s="23">
        <v>1040</v>
      </c>
      <c r="I185" s="23">
        <v>2080</v>
      </c>
    </row>
    <row r="186" spans="1:9" ht="15" customHeight="1" x14ac:dyDescent="0.35">
      <c r="A186" s="22" t="s">
        <v>337</v>
      </c>
      <c r="B186" s="22" t="s">
        <v>338</v>
      </c>
      <c r="C186" s="22" t="s">
        <v>89</v>
      </c>
      <c r="D186" s="22" t="s">
        <v>49</v>
      </c>
      <c r="E186" s="22">
        <v>3</v>
      </c>
      <c r="F186" s="22" t="s">
        <v>34</v>
      </c>
      <c r="G186" s="22" t="s">
        <v>46</v>
      </c>
      <c r="H186" s="22">
        <v>520</v>
      </c>
      <c r="I186" s="22">
        <v>1560</v>
      </c>
    </row>
    <row r="187" spans="1:9" ht="15" customHeight="1" x14ac:dyDescent="0.35">
      <c r="A187" s="23" t="s">
        <v>339</v>
      </c>
      <c r="B187" s="23" t="s">
        <v>105</v>
      </c>
      <c r="C187" s="23" t="s">
        <v>82</v>
      </c>
      <c r="D187" s="23" t="s">
        <v>47</v>
      </c>
      <c r="E187" s="23">
        <v>3</v>
      </c>
      <c r="F187" s="23" t="s">
        <v>34</v>
      </c>
      <c r="G187" s="23" t="s">
        <v>44</v>
      </c>
      <c r="H187" s="23">
        <v>416</v>
      </c>
      <c r="I187" s="23">
        <v>1248</v>
      </c>
    </row>
    <row r="188" spans="1:9" ht="15" customHeight="1" x14ac:dyDescent="0.35">
      <c r="A188" s="22" t="s">
        <v>340</v>
      </c>
      <c r="B188" s="22" t="s">
        <v>341</v>
      </c>
      <c r="C188" s="22" t="s">
        <v>94</v>
      </c>
      <c r="D188" s="22" t="s">
        <v>45</v>
      </c>
      <c r="E188" s="22">
        <v>4</v>
      </c>
      <c r="F188" s="22" t="s">
        <v>34</v>
      </c>
      <c r="G188" s="22" t="s">
        <v>48</v>
      </c>
      <c r="H188" s="22">
        <v>1040</v>
      </c>
      <c r="I188" s="22">
        <v>4160</v>
      </c>
    </row>
    <row r="189" spans="1:9" ht="15" customHeight="1" x14ac:dyDescent="0.35">
      <c r="A189" s="23" t="s">
        <v>342</v>
      </c>
      <c r="B189" s="23" t="s">
        <v>201</v>
      </c>
      <c r="C189" s="23" t="s">
        <v>82</v>
      </c>
      <c r="D189" s="23" t="s">
        <v>47</v>
      </c>
      <c r="E189" s="23">
        <v>4</v>
      </c>
      <c r="F189" s="23" t="s">
        <v>32</v>
      </c>
      <c r="G189" s="23" t="s">
        <v>48</v>
      </c>
      <c r="H189" s="23">
        <v>416</v>
      </c>
      <c r="I189" s="23">
        <v>1664</v>
      </c>
    </row>
    <row r="190" spans="1:9" ht="15" customHeight="1" x14ac:dyDescent="0.35">
      <c r="A190" s="22" t="s">
        <v>343</v>
      </c>
      <c r="B190" s="22" t="s">
        <v>73</v>
      </c>
      <c r="C190" s="22" t="s">
        <v>86</v>
      </c>
      <c r="D190" s="22" t="s">
        <v>49</v>
      </c>
      <c r="E190" s="22">
        <v>3</v>
      </c>
      <c r="F190" s="22" t="s">
        <v>34</v>
      </c>
      <c r="G190" s="22" t="s">
        <v>46</v>
      </c>
      <c r="H190" s="22">
        <v>780</v>
      </c>
      <c r="I190" s="22">
        <v>2340</v>
      </c>
    </row>
    <row r="191" spans="1:9" ht="15" customHeight="1" x14ac:dyDescent="0.35">
      <c r="A191" s="23" t="s">
        <v>344</v>
      </c>
      <c r="B191" s="23" t="s">
        <v>93</v>
      </c>
      <c r="C191" s="23" t="s">
        <v>74</v>
      </c>
      <c r="D191" s="23" t="s">
        <v>45</v>
      </c>
      <c r="E191" s="23">
        <v>3</v>
      </c>
      <c r="F191" s="23" t="s">
        <v>32</v>
      </c>
      <c r="G191" s="23" t="s">
        <v>44</v>
      </c>
      <c r="H191" s="23">
        <v>624</v>
      </c>
      <c r="I191" s="23">
        <v>1872</v>
      </c>
    </row>
    <row r="192" spans="1:9" ht="15" customHeight="1" x14ac:dyDescent="0.35">
      <c r="A192" s="22" t="s">
        <v>345</v>
      </c>
      <c r="B192" s="22" t="s">
        <v>158</v>
      </c>
      <c r="C192" s="22" t="s">
        <v>82</v>
      </c>
      <c r="D192" s="22" t="s">
        <v>47</v>
      </c>
      <c r="E192" s="22">
        <v>5</v>
      </c>
      <c r="F192" s="22" t="s">
        <v>34</v>
      </c>
      <c r="G192" s="22" t="s">
        <v>46</v>
      </c>
      <c r="H192" s="22">
        <v>416</v>
      </c>
      <c r="I192" s="22">
        <v>2080</v>
      </c>
    </row>
    <row r="193" spans="1:9" ht="15" customHeight="1" x14ac:dyDescent="0.35">
      <c r="A193" s="23" t="s">
        <v>346</v>
      </c>
      <c r="B193" s="23" t="s">
        <v>195</v>
      </c>
      <c r="C193" s="23" t="s">
        <v>89</v>
      </c>
      <c r="D193" s="23" t="s">
        <v>49</v>
      </c>
      <c r="E193" s="23">
        <v>3</v>
      </c>
      <c r="F193" s="23" t="s">
        <v>36</v>
      </c>
      <c r="G193" s="23" t="s">
        <v>46</v>
      </c>
      <c r="H193" s="23">
        <v>520</v>
      </c>
      <c r="I193" s="23">
        <v>1560</v>
      </c>
    </row>
    <row r="194" spans="1:9" ht="15" customHeight="1" x14ac:dyDescent="0.35">
      <c r="A194" s="22" t="s">
        <v>347</v>
      </c>
      <c r="B194" s="22" t="s">
        <v>338</v>
      </c>
      <c r="C194" s="22" t="s">
        <v>94</v>
      </c>
      <c r="D194" s="22" t="s">
        <v>45</v>
      </c>
      <c r="E194" s="22">
        <v>3</v>
      </c>
      <c r="F194" s="22" t="s">
        <v>36</v>
      </c>
      <c r="G194" s="22" t="s">
        <v>46</v>
      </c>
      <c r="H194" s="22">
        <v>1040</v>
      </c>
      <c r="I194" s="22">
        <v>3120</v>
      </c>
    </row>
    <row r="195" spans="1:9" ht="15" customHeight="1" x14ac:dyDescent="0.35">
      <c r="A195" s="23" t="s">
        <v>348</v>
      </c>
      <c r="B195" s="23" t="s">
        <v>213</v>
      </c>
      <c r="C195" s="23" t="s">
        <v>94</v>
      </c>
      <c r="D195" s="23" t="s">
        <v>45</v>
      </c>
      <c r="E195" s="23">
        <v>4</v>
      </c>
      <c r="F195" s="23" t="s">
        <v>34</v>
      </c>
      <c r="G195" s="23" t="s">
        <v>46</v>
      </c>
      <c r="H195" s="23">
        <v>1040</v>
      </c>
      <c r="I195" s="23">
        <v>4160</v>
      </c>
    </row>
    <row r="196" spans="1:9" ht="15" customHeight="1" x14ac:dyDescent="0.35">
      <c r="A196" s="22" t="s">
        <v>349</v>
      </c>
      <c r="B196" s="22" t="s">
        <v>326</v>
      </c>
      <c r="C196" s="22" t="s">
        <v>71</v>
      </c>
      <c r="D196" s="22" t="s">
        <v>47</v>
      </c>
      <c r="E196" s="22">
        <v>3</v>
      </c>
      <c r="F196" s="22" t="s">
        <v>36</v>
      </c>
      <c r="G196" s="22" t="s">
        <v>46</v>
      </c>
      <c r="H196" s="22">
        <v>936</v>
      </c>
      <c r="I196" s="22">
        <v>2808</v>
      </c>
    </row>
    <row r="197" spans="1:9" ht="15" customHeight="1" x14ac:dyDescent="0.35">
      <c r="A197" s="23" t="s">
        <v>350</v>
      </c>
      <c r="B197" s="23" t="s">
        <v>169</v>
      </c>
      <c r="C197" s="23" t="s">
        <v>71</v>
      </c>
      <c r="D197" s="23" t="s">
        <v>47</v>
      </c>
      <c r="E197" s="23">
        <v>3</v>
      </c>
      <c r="F197" s="23" t="s">
        <v>32</v>
      </c>
      <c r="G197" s="23" t="s">
        <v>44</v>
      </c>
      <c r="H197" s="23">
        <v>936</v>
      </c>
      <c r="I197" s="23">
        <v>2808</v>
      </c>
    </row>
    <row r="198" spans="1:9" ht="15" customHeight="1" x14ac:dyDescent="0.35">
      <c r="A198" s="22" t="s">
        <v>351</v>
      </c>
      <c r="B198" s="22" t="s">
        <v>101</v>
      </c>
      <c r="C198" s="22" t="s">
        <v>74</v>
      </c>
      <c r="D198" s="22" t="s">
        <v>45</v>
      </c>
      <c r="E198" s="22">
        <v>2</v>
      </c>
      <c r="F198" s="22" t="s">
        <v>32</v>
      </c>
      <c r="G198" s="22" t="s">
        <v>46</v>
      </c>
      <c r="H198" s="22">
        <v>624</v>
      </c>
      <c r="I198" s="22">
        <v>1248</v>
      </c>
    </row>
    <row r="199" spans="1:9" ht="15" customHeight="1" x14ac:dyDescent="0.35">
      <c r="A199" s="23" t="s">
        <v>352</v>
      </c>
      <c r="B199" s="23" t="s">
        <v>93</v>
      </c>
      <c r="C199" s="23" t="s">
        <v>71</v>
      </c>
      <c r="D199" s="23" t="s">
        <v>47</v>
      </c>
      <c r="E199" s="23">
        <v>4</v>
      </c>
      <c r="F199" s="23" t="s">
        <v>32</v>
      </c>
      <c r="G199" s="23" t="s">
        <v>46</v>
      </c>
      <c r="H199" s="23">
        <v>936</v>
      </c>
      <c r="I199" s="23">
        <v>3744</v>
      </c>
    </row>
    <row r="200" spans="1:9" ht="15" customHeight="1" x14ac:dyDescent="0.35">
      <c r="A200" s="22" t="s">
        <v>353</v>
      </c>
      <c r="B200" s="22" t="s">
        <v>144</v>
      </c>
      <c r="C200" s="22" t="s">
        <v>89</v>
      </c>
      <c r="D200" s="22" t="s">
        <v>49</v>
      </c>
      <c r="E200" s="22">
        <v>4</v>
      </c>
      <c r="F200" s="22" t="s">
        <v>34</v>
      </c>
      <c r="G200" s="22" t="s">
        <v>46</v>
      </c>
      <c r="H200" s="22">
        <v>520</v>
      </c>
      <c r="I200" s="22">
        <v>2080</v>
      </c>
    </row>
    <row r="201" spans="1:9" ht="15" customHeight="1" x14ac:dyDescent="0.35">
      <c r="A201" s="23" t="s">
        <v>354</v>
      </c>
      <c r="B201" s="23" t="s">
        <v>207</v>
      </c>
      <c r="C201" s="23" t="s">
        <v>86</v>
      </c>
      <c r="D201" s="23" t="s">
        <v>49</v>
      </c>
      <c r="E201" s="23">
        <v>4</v>
      </c>
      <c r="F201" s="23" t="s">
        <v>36</v>
      </c>
      <c r="G201" s="23" t="s">
        <v>46</v>
      </c>
      <c r="H201" s="23">
        <v>780</v>
      </c>
      <c r="I201" s="23">
        <v>3120</v>
      </c>
    </row>
    <row r="203" spans="1:9" ht="24" customHeight="1" x14ac:dyDescent="0.35">
      <c r="A203" s="34" t="s">
        <v>355</v>
      </c>
      <c r="B203" s="34"/>
      <c r="C203" s="34"/>
      <c r="D203" s="34"/>
      <c r="E203" s="34"/>
      <c r="F203" s="34"/>
      <c r="G203" s="34"/>
      <c r="H203" s="34"/>
      <c r="I203" s="34"/>
    </row>
  </sheetData>
  <mergeCells count="1">
    <mergeCell ref="A203:I20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973A"/>
  </sheetPr>
  <dimension ref="A1:L69"/>
  <sheetViews>
    <sheetView showGridLines="0" zoomScaleNormal="100" workbookViewId="0">
      <selection sqref="A1:L1"/>
    </sheetView>
  </sheetViews>
  <sheetFormatPr defaultColWidth="8.6328125" defaultRowHeight="14.5" x14ac:dyDescent="0.35"/>
  <cols>
    <col min="1" max="12" width="13" customWidth="1"/>
  </cols>
  <sheetData>
    <row r="1" spans="1:12" ht="39.75" customHeight="1" x14ac:dyDescent="0.35">
      <c r="A1" s="36" t="s">
        <v>362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8" customHeight="1" x14ac:dyDescent="0.35"/>
    <row r="3" spans="1:12" ht="21.75" customHeight="1" x14ac:dyDescent="0.35">
      <c r="A3" s="37" t="s">
        <v>363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ht="37.5" customHeight="1" x14ac:dyDescent="0.35">
      <c r="A4" s="38" t="s">
        <v>364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7.5" customHeight="1" x14ac:dyDescent="0.35"/>
    <row r="6" spans="1:12" ht="21.75" customHeight="1" x14ac:dyDescent="0.35">
      <c r="A6" s="6" t="s">
        <v>365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37.5" customHeight="1" x14ac:dyDescent="0.35">
      <c r="A7" s="38" t="s">
        <v>366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 ht="7.5" customHeight="1" x14ac:dyDescent="0.35"/>
    <row r="9" spans="1:12" ht="21.75" customHeight="1" x14ac:dyDescent="0.35">
      <c r="A9" s="2" t="s">
        <v>367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37.5" customHeight="1" x14ac:dyDescent="0.35">
      <c r="A10" s="38" t="s">
        <v>368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1" spans="1:12" ht="7.5" customHeight="1" x14ac:dyDescent="0.35"/>
    <row r="12" spans="1:12" ht="21.75" customHeight="1" x14ac:dyDescent="0.35">
      <c r="A12" s="39" t="s">
        <v>369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 ht="37.5" customHeight="1" x14ac:dyDescent="0.35">
      <c r="A13" s="38" t="s">
        <v>370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</row>
    <row r="14" spans="1:12" ht="7.5" customHeight="1" x14ac:dyDescent="0.35"/>
    <row r="15" spans="1:12" ht="21.75" customHeight="1" x14ac:dyDescent="0.35">
      <c r="A15" s="3" t="s">
        <v>371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37.5" customHeight="1" x14ac:dyDescent="0.35">
      <c r="A16" s="38" t="s">
        <v>372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spans="1:12" ht="7.5" customHeight="1" x14ac:dyDescent="0.35"/>
    <row r="18" spans="1:12" ht="21.75" customHeight="1" x14ac:dyDescent="0.35">
      <c r="A18" s="1" t="s">
        <v>373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37.5" customHeight="1" x14ac:dyDescent="0.35">
      <c r="A19" s="38" t="s">
        <v>374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</row>
    <row r="20" spans="1:12" ht="7.5" customHeight="1" x14ac:dyDescent="0.35"/>
    <row r="21" spans="1:12" ht="21.75" customHeight="1" x14ac:dyDescent="0.35">
      <c r="A21" s="6" t="s">
        <v>375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37.5" customHeight="1" x14ac:dyDescent="0.35">
      <c r="A22" s="38" t="s">
        <v>376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</row>
    <row r="23" spans="1:12" ht="7.5" customHeight="1" x14ac:dyDescent="0.35"/>
    <row r="24" spans="1:12" ht="21.75" customHeight="1" x14ac:dyDescent="0.35">
      <c r="A24" s="2" t="s">
        <v>377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37.5" customHeight="1" x14ac:dyDescent="0.35">
      <c r="A25" s="38" t="s">
        <v>378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6" spans="1:12" ht="7.5" customHeight="1" x14ac:dyDescent="0.35"/>
    <row r="27" spans="1:12" ht="18" customHeight="1" x14ac:dyDescent="0.35"/>
    <row r="28" spans="1:12" ht="18" customHeight="1" x14ac:dyDescent="0.35"/>
    <row r="29" spans="1:12" ht="18" customHeight="1" x14ac:dyDescent="0.35"/>
    <row r="30" spans="1:12" ht="18" customHeight="1" x14ac:dyDescent="0.35"/>
    <row r="31" spans="1:12" ht="18" customHeight="1" x14ac:dyDescent="0.35"/>
    <row r="32" spans="1:1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</sheetData>
  <mergeCells count="17">
    <mergeCell ref="A24:L24"/>
    <mergeCell ref="A25:L25"/>
    <mergeCell ref="A16:L16"/>
    <mergeCell ref="A18:L18"/>
    <mergeCell ref="A19:L19"/>
    <mergeCell ref="A21:L21"/>
    <mergeCell ref="A22:L22"/>
    <mergeCell ref="A9:L9"/>
    <mergeCell ref="A10:L10"/>
    <mergeCell ref="A12:L12"/>
    <mergeCell ref="A13:L13"/>
    <mergeCell ref="A15:L15"/>
    <mergeCell ref="A1:L1"/>
    <mergeCell ref="A3:L3"/>
    <mergeCell ref="A4:L4"/>
    <mergeCell ref="A6:L6"/>
    <mergeCell ref="A7:L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0A4AE"/>
  </sheetPr>
  <dimension ref="A1:V24"/>
  <sheetViews>
    <sheetView showGridLines="0" zoomScaleNormal="100" workbookViewId="0">
      <selection activeCell="G24" sqref="G24"/>
    </sheetView>
  </sheetViews>
  <sheetFormatPr defaultColWidth="8.6328125" defaultRowHeight="14.5" x14ac:dyDescent="0.35"/>
  <cols>
    <col min="1" max="1" width="18.7265625" customWidth="1"/>
    <col min="2" max="2" width="18.1796875" customWidth="1"/>
    <col min="3" max="4" width="10" customWidth="1"/>
    <col min="5" max="5" width="2" customWidth="1"/>
    <col min="6" max="7" width="16" customWidth="1"/>
    <col min="8" max="9" width="10" customWidth="1"/>
    <col min="10" max="10" width="2" customWidth="1"/>
    <col min="11" max="11" width="14" customWidth="1"/>
    <col min="12" max="12" width="16" customWidth="1"/>
    <col min="13" max="13" width="10" customWidth="1"/>
    <col min="14" max="14" width="2" customWidth="1"/>
    <col min="15" max="15" width="14" customWidth="1"/>
    <col min="16" max="16" width="16" customWidth="1"/>
    <col min="17" max="17" width="10" customWidth="1"/>
    <col min="18" max="18" width="2" customWidth="1"/>
    <col min="19" max="19" width="12" customWidth="1"/>
    <col min="20" max="20" width="16" customWidth="1"/>
    <col min="21" max="21" width="10" customWidth="1"/>
  </cols>
  <sheetData>
    <row r="1" spans="1:22" ht="27.75" customHeight="1" x14ac:dyDescent="0.35">
      <c r="A1" s="35" t="s">
        <v>356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3" spans="1:22" x14ac:dyDescent="0.35">
      <c r="A3" s="28" t="s">
        <v>7</v>
      </c>
      <c r="B3" s="28" t="s">
        <v>8</v>
      </c>
      <c r="C3" s="28" t="s">
        <v>9</v>
      </c>
      <c r="D3" s="28" t="s">
        <v>10</v>
      </c>
      <c r="F3" s="28" t="s">
        <v>28</v>
      </c>
      <c r="G3" s="28" t="s">
        <v>8</v>
      </c>
      <c r="H3" s="28" t="s">
        <v>10</v>
      </c>
      <c r="I3" s="28" t="s">
        <v>9</v>
      </c>
      <c r="K3" s="28" t="s">
        <v>29</v>
      </c>
      <c r="L3" s="28" t="s">
        <v>8</v>
      </c>
      <c r="M3" s="28" t="s">
        <v>9</v>
      </c>
      <c r="O3" s="28" t="s">
        <v>42</v>
      </c>
      <c r="P3" s="28" t="s">
        <v>8</v>
      </c>
      <c r="Q3" s="28" t="s">
        <v>9</v>
      </c>
      <c r="S3" s="28" t="s">
        <v>43</v>
      </c>
      <c r="T3" s="28" t="s">
        <v>8</v>
      </c>
      <c r="U3" s="28" t="s">
        <v>10</v>
      </c>
    </row>
    <row r="4" spans="1:22" ht="15.75" customHeight="1" x14ac:dyDescent="0.35">
      <c r="A4" s="29" t="s">
        <v>13</v>
      </c>
      <c r="B4" s="30">
        <f>IFERROR(IF(SUMPRODUCT((TEXT(SalesData[Date],"mmm yyyy")=A4)*SalesData[Total Revenue (INR)])=0,0,SUMPRODUCT((TEXT(SalesData[Date],"mmm yyyy")=A4)*SalesData[Total Revenue (INR)])),0)</f>
        <v>137124</v>
      </c>
      <c r="C4" s="30">
        <f>IFERROR(IF(SUMPRODUCT((TEXT(SalesData[Date],"mmm yyyy")=A4)*(SalesData[Order ID]&lt;&gt;""))=0,0,SUMPRODUCT((TEXT(SalesData[Date],"mmm yyyy")=A4)*(SalesData[Order ID]&lt;&gt;""))),0)</f>
        <v>67</v>
      </c>
      <c r="D4" s="30">
        <f>IFERROR(IF(SUMPRODUCT((TEXT(SalesData[Date],"mmm yyyy")=A4)*SalesData[Quantity])=0,0,SUMPRODUCT((TEXT(SalesData[Date],"mmm yyyy")=A4)*SalesData[Quantity])),0)</f>
        <v>190</v>
      </c>
      <c r="F4" s="29" t="s">
        <v>94</v>
      </c>
      <c r="G4" s="30">
        <f>SUMIF(SalesData[Product Name],F4,SalesData[Total Revenue (INR)])</f>
        <v>96720</v>
      </c>
      <c r="H4" s="30">
        <f>SUMIF(SalesData[Product Name],F4,SalesData[Quantity])</f>
        <v>93</v>
      </c>
      <c r="I4" s="30">
        <f>COUNTIF(SalesData[Product Name],F4)</f>
        <v>29</v>
      </c>
      <c r="K4" s="29" t="s">
        <v>32</v>
      </c>
      <c r="L4" s="30">
        <f>SUMIF(SalesData[Sales Channel],K4,SalesData[Total Revenue (INR)])</f>
        <v>154388</v>
      </c>
      <c r="M4" s="30">
        <f>COUNTIF(SalesData[Sales Channel],K4)</f>
        <v>75</v>
      </c>
      <c r="O4" s="29" t="s">
        <v>44</v>
      </c>
      <c r="P4" s="30">
        <f>SUMIF(SalesData[Payment Method],O4,SalesData[Total Revenue (INR)])</f>
        <v>111748</v>
      </c>
      <c r="Q4" s="30">
        <f>COUNTIF(SalesData[Payment Method],O4)</f>
        <v>60</v>
      </c>
      <c r="S4" s="29" t="s">
        <v>45</v>
      </c>
      <c r="T4" s="30">
        <f>SUMIF(SalesData[Category],S4,SalesData[Total Revenue (INR)])</f>
        <v>145392</v>
      </c>
      <c r="U4" s="30">
        <f>SUMIF(SalesData[Category],S4,SalesData[Quantity])</f>
        <v>171</v>
      </c>
    </row>
    <row r="5" spans="1:22" ht="15.75" customHeight="1" x14ac:dyDescent="0.35">
      <c r="A5" s="29" t="s">
        <v>15</v>
      </c>
      <c r="B5" s="30">
        <f>IFERROR(IF(SUMPRODUCT((TEXT(SalesData[Date],"mmm yyyy")=A5)*SalesData[Total Revenue (INR)])=0,0,SUMPRODUCT((TEXT(SalesData[Date],"mmm yyyy")=A5)*SalesData[Total Revenue (INR)])),0)</f>
        <v>133380</v>
      </c>
      <c r="C5" s="30">
        <f>IFERROR(IF(SUMPRODUCT((TEXT(SalesData[Date],"mmm yyyy")=A5)*(SalesData[Order ID]&lt;&gt;""))=0,0,SUMPRODUCT((TEXT(SalesData[Date],"mmm yyyy")=A5)*(SalesData[Order ID]&lt;&gt;""))),0)</f>
        <v>61</v>
      </c>
      <c r="D5" s="30">
        <f>IFERROR(IF(SUMPRODUCT((TEXT(SalesData[Date],"mmm yyyy")=A5)*SalesData[Quantity])=0,0,SUMPRODUCT((TEXT(SalesData[Date],"mmm yyyy")=A5)*SalesData[Quantity])),0)</f>
        <v>184</v>
      </c>
      <c r="F5" s="29" t="s">
        <v>71</v>
      </c>
      <c r="G5" s="30">
        <f>SUMIF(SalesData[Product Name],F5,SalesData[Total Revenue (INR)])</f>
        <v>88920</v>
      </c>
      <c r="H5" s="30">
        <f>SUMIF(SalesData[Product Name],F5,SalesData[Quantity])</f>
        <v>95</v>
      </c>
      <c r="I5" s="30">
        <f>COUNTIF(SalesData[Product Name],F5)</f>
        <v>38</v>
      </c>
      <c r="K5" s="29" t="s">
        <v>34</v>
      </c>
      <c r="L5" s="30">
        <f>SUMIF(SalesData[Sales Channel],K5,SalesData[Total Revenue (INR)])</f>
        <v>141752</v>
      </c>
      <c r="M5" s="30">
        <f>COUNTIF(SalesData[Sales Channel],K5)</f>
        <v>64</v>
      </c>
      <c r="O5" s="29" t="s">
        <v>46</v>
      </c>
      <c r="P5" s="30">
        <f>SUMIF(SalesData[Payment Method],O5,SalesData[Total Revenue (INR)])</f>
        <v>165620</v>
      </c>
      <c r="Q5" s="30">
        <f>COUNTIF(SalesData[Payment Method],O5)</f>
        <v>71</v>
      </c>
      <c r="S5" s="29" t="s">
        <v>47</v>
      </c>
      <c r="T5" s="30">
        <f>SUMIF(SalesData[Category],S5,SalesData[Total Revenue (INR)])</f>
        <v>130520</v>
      </c>
      <c r="U5" s="30">
        <f>SUMIF(SalesData[Category],S5,SalesData[Quantity])</f>
        <v>195</v>
      </c>
    </row>
    <row r="6" spans="1:22" ht="15.75" customHeight="1" x14ac:dyDescent="0.35">
      <c r="A6" s="29" t="s">
        <v>16</v>
      </c>
      <c r="B6" s="30">
        <f>IFERROR(IF(SUMPRODUCT((TEXT(SalesData[Date],"mmm yyyy")=A6)*SalesData[Total Revenue (INR)])=0,0,SUMPRODUCT((TEXT(SalesData[Date],"mmm yyyy")=A6)*SalesData[Total Revenue (INR)])),0)</f>
        <v>145028</v>
      </c>
      <c r="C6" s="30">
        <f>IFERROR(IF(SUMPRODUCT((TEXT(SalesData[Date],"mmm yyyy")=A6)*(SalesData[Order ID]&lt;&gt;""))=0,0,SUMPRODUCT((TEXT(SalesData[Date],"mmm yyyy")=A6)*(SalesData[Order ID]&lt;&gt;""))),0)</f>
        <v>71</v>
      </c>
      <c r="D6" s="30">
        <f>IFERROR(IF(SUMPRODUCT((TEXT(SalesData[Date],"mmm yyyy")=A6)*SalesData[Quantity])=0,0,SUMPRODUCT((TEXT(SalesData[Date],"mmm yyyy")=A6)*SalesData[Quantity])),0)</f>
        <v>209</v>
      </c>
      <c r="F6" s="29" t="s">
        <v>74</v>
      </c>
      <c r="G6" s="30">
        <f>SUMIF(SalesData[Product Name],F6,SalesData[Total Revenue (INR)])</f>
        <v>48672</v>
      </c>
      <c r="H6" s="30">
        <f>SUMIF(SalesData[Product Name],F6,SalesData[Quantity])</f>
        <v>78</v>
      </c>
      <c r="I6" s="30">
        <f>COUNTIF(SalesData[Product Name],F6)</f>
        <v>29</v>
      </c>
      <c r="K6" s="29" t="s">
        <v>36</v>
      </c>
      <c r="L6" s="30">
        <f>SUMIF(SalesData[Sales Channel],K6,SalesData[Total Revenue (INR)])</f>
        <v>124592</v>
      </c>
      <c r="M6" s="30">
        <f>COUNTIF(SalesData[Sales Channel],K6)</f>
        <v>61</v>
      </c>
      <c r="O6" s="29" t="s">
        <v>48</v>
      </c>
      <c r="P6" s="30">
        <f>SUMIF(SalesData[Payment Method],O6,SalesData[Total Revenue (INR)])</f>
        <v>143364</v>
      </c>
      <c r="Q6" s="30">
        <f>COUNTIF(SalesData[Payment Method],O6)</f>
        <v>69</v>
      </c>
      <c r="S6" s="29" t="s">
        <v>49</v>
      </c>
      <c r="T6" s="30">
        <f>SUMIF(SalesData[Category],S6,SalesData[Total Revenue (INR)])</f>
        <v>144820</v>
      </c>
      <c r="U6" s="30">
        <f>SUMIF(SalesData[Category],S6,SalesData[Quantity])</f>
        <v>222</v>
      </c>
    </row>
    <row r="7" spans="1:22" ht="15.75" customHeight="1" x14ac:dyDescent="0.35">
      <c r="A7" s="29" t="s">
        <v>17</v>
      </c>
      <c r="B7" s="30">
        <f>IFERROR(IF(SUMPRODUCT((TEXT(SalesData[Date],"mmm yyyy")=A7)*SalesData[Total Revenue (INR)])=0,0,SUMPRODUCT((TEXT(SalesData[Date],"mmm yyyy")=A7)*SalesData[Total Revenue (INR)])),0)</f>
        <v>5200</v>
      </c>
      <c r="C7" s="30">
        <f>IFERROR(IF(SUMPRODUCT((TEXT(SalesData[Date],"mmm yyyy")=A7)*(SalesData[Order ID]&lt;&gt;""))=0,0,SUMPRODUCT((TEXT(SalesData[Date],"mmm yyyy")=A7)*(SalesData[Order ID]&lt;&gt;""))),0)</f>
        <v>1</v>
      </c>
      <c r="D7" s="30">
        <f>IFERROR(IF(SUMPRODUCT((TEXT(SalesData[Date],"mmm yyyy")=A7)*SalesData[Quantity])=0,0,SUMPRODUCT((TEXT(SalesData[Date],"mmm yyyy")=A7)*SalesData[Quantity])),0)</f>
        <v>5</v>
      </c>
      <c r="F7" s="29" t="s">
        <v>82</v>
      </c>
      <c r="G7" s="30">
        <f>SUMIF(SalesData[Product Name],F7,SalesData[Total Revenue (INR)])</f>
        <v>41600</v>
      </c>
      <c r="H7" s="30">
        <f>SUMIF(SalesData[Product Name],F7,SalesData[Quantity])</f>
        <v>100</v>
      </c>
      <c r="I7" s="30">
        <f>COUNTIF(SalesData[Product Name],F7)</f>
        <v>32</v>
      </c>
    </row>
    <row r="8" spans="1:22" ht="15.75" customHeight="1" x14ac:dyDescent="0.35">
      <c r="A8" s="29" t="s">
        <v>18</v>
      </c>
      <c r="B8" s="30">
        <f>IFERROR(IF(SUMPRODUCT((TEXT(SalesData[Date],"mmm yyyy")=A8)*SalesData[Total Revenue (INR)])=0,0,SUMPRODUCT((TEXT(SalesData[Date],"mmm yyyy")=A8)*SalesData[Total Revenue (INR)])),0)</f>
        <v>0</v>
      </c>
      <c r="C8" s="30">
        <f>IFERROR(IF(SUMPRODUCT((TEXT(SalesData[Date],"mmm yyyy")=A8)*(SalesData[Order ID]&lt;&gt;""))=0,0,SUMPRODUCT((TEXT(SalesData[Date],"mmm yyyy")=A8)*(SalesData[Order ID]&lt;&gt;""))),0)</f>
        <v>0</v>
      </c>
      <c r="D8" s="30">
        <f>IFERROR(IF(SUMPRODUCT((TEXT(SalesData[Date],"mmm yyyy")=A8)*SalesData[Quantity])=0,0,SUMPRODUCT((TEXT(SalesData[Date],"mmm yyyy")=A8)*SalesData[Quantity])),0)</f>
        <v>0</v>
      </c>
      <c r="F8" s="29" t="s">
        <v>86</v>
      </c>
      <c r="G8" s="30">
        <f>SUMIF(SalesData[Product Name],F8,SalesData[Total Revenue (INR)])</f>
        <v>88140</v>
      </c>
      <c r="H8" s="30">
        <f>SUMIF(SalesData[Product Name],F8,SalesData[Quantity])</f>
        <v>113</v>
      </c>
      <c r="I8" s="30">
        <f>COUNTIF(SalesData[Product Name],F8)</f>
        <v>37</v>
      </c>
    </row>
    <row r="9" spans="1:22" ht="15.75" customHeight="1" x14ac:dyDescent="0.35">
      <c r="A9" s="29" t="s">
        <v>19</v>
      </c>
      <c r="B9" s="30">
        <f>IFERROR(IF(SUMPRODUCT((TEXT(SalesData[Date],"mmm yyyy")=A9)*SalesData[Total Revenue (INR)])=0,0,SUMPRODUCT((TEXT(SalesData[Date],"mmm yyyy")=A9)*SalesData[Total Revenue (INR)])),0)</f>
        <v>0</v>
      </c>
      <c r="C9" s="30">
        <f>IFERROR(IF(SUMPRODUCT((TEXT(SalesData[Date],"mmm yyyy")=A9)*(SalesData[Order ID]&lt;&gt;""))=0,0,SUMPRODUCT((TEXT(SalesData[Date],"mmm yyyy")=A9)*(SalesData[Order ID]&lt;&gt;""))),0)</f>
        <v>0</v>
      </c>
      <c r="D9" s="30">
        <f>IFERROR(IF(SUMPRODUCT((TEXT(SalesData[Date],"mmm yyyy")=A9)*SalesData[Quantity])=0,0,SUMPRODUCT((TEXT(SalesData[Date],"mmm yyyy")=A9)*SalesData[Quantity])),0)</f>
        <v>0</v>
      </c>
      <c r="F9" s="29" t="s">
        <v>89</v>
      </c>
      <c r="G9" s="30">
        <f>SUMIF(SalesData[Product Name],F9,SalesData[Total Revenue (INR)])</f>
        <v>56680</v>
      </c>
      <c r="H9" s="30">
        <f>SUMIF(SalesData[Product Name],F9,SalesData[Quantity])</f>
        <v>109</v>
      </c>
      <c r="I9" s="30">
        <f>COUNTIF(SalesData[Product Name],F9)</f>
        <v>35</v>
      </c>
    </row>
    <row r="10" spans="1:22" ht="15.75" customHeight="1" x14ac:dyDescent="0.35">
      <c r="A10" s="29" t="s">
        <v>20</v>
      </c>
      <c r="B10" s="30">
        <f>IFERROR(IF(SUMPRODUCT((TEXT(SalesData[Date],"mmm yyyy")=A10)*SalesData[Total Revenue (INR)])=0,0,SUMPRODUCT((TEXT(SalesData[Date],"mmm yyyy")=A10)*SalesData[Total Revenue (INR)])),0)</f>
        <v>0</v>
      </c>
      <c r="C10" s="30">
        <f>IFERROR(IF(SUMPRODUCT((TEXT(SalesData[Date],"mmm yyyy")=A10)*(SalesData[Order ID]&lt;&gt;""))=0,0,SUMPRODUCT((TEXT(SalesData[Date],"mmm yyyy")=A10)*(SalesData[Order ID]&lt;&gt;""))),0)</f>
        <v>0</v>
      </c>
      <c r="D10" s="30">
        <f>IFERROR(IF(SUMPRODUCT((TEXT(SalesData[Date],"mmm yyyy")=A10)*SalesData[Quantity])=0,0,SUMPRODUCT((TEXT(SalesData[Date],"mmm yyyy")=A10)*SalesData[Quantity])),0)</f>
        <v>0</v>
      </c>
    </row>
    <row r="11" spans="1:22" ht="15.75" customHeight="1" x14ac:dyDescent="0.35">
      <c r="A11" s="29" t="s">
        <v>21</v>
      </c>
      <c r="B11" s="30">
        <f>IFERROR(IF(SUMPRODUCT((TEXT(SalesData[Date],"mmm yyyy")=A11)*SalesData[Total Revenue (INR)])=0,0,SUMPRODUCT((TEXT(SalesData[Date],"mmm yyyy")=A11)*SalesData[Total Revenue (INR)])),0)</f>
        <v>0</v>
      </c>
      <c r="C11" s="30">
        <f>IFERROR(IF(SUMPRODUCT((TEXT(SalesData[Date],"mmm yyyy")=A11)*(SalesData[Order ID]&lt;&gt;""))=0,0,SUMPRODUCT((TEXT(SalesData[Date],"mmm yyyy")=A11)*(SalesData[Order ID]&lt;&gt;""))),0)</f>
        <v>0</v>
      </c>
      <c r="D11" s="30">
        <f>IFERROR(IF(SUMPRODUCT((TEXT(SalesData[Date],"mmm yyyy")=A11)*SalesData[Quantity])=0,0,SUMPRODUCT((TEXT(SalesData[Date],"mmm yyyy")=A11)*SalesData[Quantity])),0)</f>
        <v>0</v>
      </c>
    </row>
    <row r="12" spans="1:22" ht="15.75" customHeight="1" x14ac:dyDescent="0.35">
      <c r="A12" s="29" t="s">
        <v>22</v>
      </c>
      <c r="B12" s="30">
        <f>IFERROR(IF(SUMPRODUCT((TEXT(SalesData[Date],"mmm yyyy")=A12)*SalesData[Total Revenue (INR)])=0,0,SUMPRODUCT((TEXT(SalesData[Date],"mmm yyyy")=A12)*SalesData[Total Revenue (INR)])),0)</f>
        <v>0</v>
      </c>
      <c r="C12" s="30">
        <f>IFERROR(IF(SUMPRODUCT((TEXT(SalesData[Date],"mmm yyyy")=A12)*(SalesData[Order ID]&lt;&gt;""))=0,0,SUMPRODUCT((TEXT(SalesData[Date],"mmm yyyy")=A12)*(SalesData[Order ID]&lt;&gt;""))),0)</f>
        <v>0</v>
      </c>
      <c r="D12" s="30">
        <f>IFERROR(IF(SUMPRODUCT((TEXT(SalesData[Date],"mmm yyyy")=A12)*SalesData[Quantity])=0,0,SUMPRODUCT((TEXT(SalesData[Date],"mmm yyyy")=A12)*SalesData[Quantity])),0)</f>
        <v>0</v>
      </c>
    </row>
    <row r="13" spans="1:22" ht="15.75" customHeight="1" x14ac:dyDescent="0.35">
      <c r="A13" s="29" t="s">
        <v>23</v>
      </c>
      <c r="B13" s="30">
        <f>IFERROR(IF(SUMPRODUCT((TEXT(SalesData[Date],"mmm yyyy")=A13)*SalesData[Total Revenue (INR)])=0,0,SUMPRODUCT((TEXT(SalesData[Date],"mmm yyyy")=A13)*SalesData[Total Revenue (INR)])),0)</f>
        <v>0</v>
      </c>
      <c r="C13" s="30">
        <f>IFERROR(IF(SUMPRODUCT((TEXT(SalesData[Date],"mmm yyyy")=A13)*(SalesData[Order ID]&lt;&gt;""))=0,0,SUMPRODUCT((TEXT(SalesData[Date],"mmm yyyy")=A13)*(SalesData[Order ID]&lt;&gt;""))),0)</f>
        <v>0</v>
      </c>
      <c r="D13" s="30">
        <f>IFERROR(IF(SUMPRODUCT((TEXT(SalesData[Date],"mmm yyyy")=A13)*SalesData[Quantity])=0,0,SUMPRODUCT((TEXT(SalesData[Date],"mmm yyyy")=A13)*SalesData[Quantity])),0)</f>
        <v>0</v>
      </c>
    </row>
    <row r="14" spans="1:22" ht="15.75" customHeight="1" x14ac:dyDescent="0.35">
      <c r="A14" s="29" t="s">
        <v>24</v>
      </c>
      <c r="B14" s="30">
        <f>IFERROR(IF(SUMPRODUCT((TEXT(SalesData[Date],"mmm yyyy")=A14)*SalesData[Total Revenue (INR)])=0,0,SUMPRODUCT((TEXT(SalesData[Date],"mmm yyyy")=A14)*SalesData[Total Revenue (INR)])),0)</f>
        <v>0</v>
      </c>
      <c r="C14" s="30">
        <f>IFERROR(IF(SUMPRODUCT((TEXT(SalesData[Date],"mmm yyyy")=A14)*(SalesData[Order ID]&lt;&gt;""))=0,0,SUMPRODUCT((TEXT(SalesData[Date],"mmm yyyy")=A14)*(SalesData[Order ID]&lt;&gt;""))),0)</f>
        <v>0</v>
      </c>
      <c r="D14" s="30">
        <f>IFERROR(IF(SUMPRODUCT((TEXT(SalesData[Date],"mmm yyyy")=A14)*SalesData[Quantity])=0,0,SUMPRODUCT((TEXT(SalesData[Date],"mmm yyyy")=A14)*SalesData[Quantity])),0)</f>
        <v>0</v>
      </c>
    </row>
    <row r="15" spans="1:22" ht="15.75" customHeight="1" x14ac:dyDescent="0.35">
      <c r="A15" s="29" t="s">
        <v>25</v>
      </c>
      <c r="B15" s="30">
        <f>IFERROR(IF(SUMPRODUCT((TEXT(SalesData[Date],"mmm yyyy")=A15)*SalesData[Total Revenue (INR)])=0,0,SUMPRODUCT((TEXT(SalesData[Date],"mmm yyyy")=A15)*SalesData[Total Revenue (INR)])),0)</f>
        <v>0</v>
      </c>
      <c r="C15" s="30">
        <f>IFERROR(IF(SUMPRODUCT((TEXT(SalesData[Date],"mmm yyyy")=A15)*(SalesData[Order ID]&lt;&gt;""))=0,0,SUMPRODUCT((TEXT(SalesData[Date],"mmm yyyy")=A15)*(SalesData[Order ID]&lt;&gt;""))),0)</f>
        <v>0</v>
      </c>
      <c r="D15" s="30">
        <f>IFERROR(IF(SUMPRODUCT((TEXT(SalesData[Date],"mmm yyyy")=A15)*SalesData[Quantity])=0,0,SUMPRODUCT((TEXT(SalesData[Date],"mmm yyyy")=A15)*SalesData[Quantity])),0)</f>
        <v>0</v>
      </c>
    </row>
    <row r="20" spans="1:2" x14ac:dyDescent="0.35">
      <c r="A20" s="31" t="s">
        <v>357</v>
      </c>
      <c r="B20" s="31" t="s">
        <v>358</v>
      </c>
    </row>
    <row r="21" spans="1:2" ht="18" customHeight="1" x14ac:dyDescent="0.35">
      <c r="A21" s="32" t="s">
        <v>68</v>
      </c>
      <c r="B21" s="33">
        <f>SUM(SalesData[Total Revenue (INR)])</f>
        <v>420732</v>
      </c>
    </row>
    <row r="22" spans="1:2" ht="18" customHeight="1" x14ac:dyDescent="0.35">
      <c r="A22" s="32" t="s">
        <v>359</v>
      </c>
      <c r="B22" s="33">
        <f>COUNTA(SalesData[Order ID])</f>
        <v>200</v>
      </c>
    </row>
    <row r="23" spans="1:2" ht="18" customHeight="1" x14ac:dyDescent="0.35">
      <c r="A23" s="32" t="s">
        <v>360</v>
      </c>
      <c r="B23" s="33">
        <f>SUM(SalesData[Quantity])</f>
        <v>588</v>
      </c>
    </row>
    <row r="24" spans="1:2" ht="18" customHeight="1" x14ac:dyDescent="0.35">
      <c r="A24" s="32" t="s">
        <v>361</v>
      </c>
      <c r="B24" s="33">
        <f>IFERROR(SUM(SalesData[Total Revenue (INR)])/COUNTA(SalesData[Order ID]),0)</f>
        <v>2103.66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📈 Charts</vt:lpstr>
      <vt:lpstr>📋 Raw Data</vt:lpstr>
      <vt:lpstr>💡 Insights</vt:lpstr>
      <vt:lpstr>🔢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Karra, Pradeep</cp:lastModifiedBy>
  <cp:revision>1</cp:revision>
  <dcterms:created xsi:type="dcterms:W3CDTF">2026-03-19T17:55:18Z</dcterms:created>
  <dcterms:modified xsi:type="dcterms:W3CDTF">2026-03-19T18:19:31Z</dcterms:modified>
  <dc:language>en-US</dc:language>
</cp:coreProperties>
</file>